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8_{AB25F4D7-8DDB-704F-B0E0-0946FFFC71D5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Dashboard" sheetId="1" r:id="rId1"/>
    <sheet name="Sales Data" sheetId="2" r:id="rId2"/>
    <sheet name="Analysi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G24" i="3"/>
  <c r="H23" i="3"/>
  <c r="G23" i="3"/>
  <c r="D23" i="3"/>
  <c r="C23" i="3"/>
  <c r="B23" i="3"/>
  <c r="H22" i="3"/>
  <c r="G22" i="3"/>
  <c r="D22" i="3"/>
  <c r="C22" i="3"/>
  <c r="B22" i="3"/>
  <c r="H21" i="3"/>
  <c r="G21" i="3"/>
  <c r="D21" i="3"/>
  <c r="C21" i="3"/>
  <c r="B21" i="3"/>
  <c r="H20" i="3"/>
  <c r="G20" i="3"/>
  <c r="H19" i="3"/>
  <c r="G19" i="3"/>
  <c r="H18" i="3"/>
  <c r="G18" i="3"/>
  <c r="D17" i="3"/>
  <c r="C17" i="3"/>
  <c r="B17" i="3"/>
  <c r="D16" i="3"/>
  <c r="C16" i="3"/>
  <c r="B16" i="3"/>
  <c r="D15" i="3"/>
  <c r="C15" i="3"/>
  <c r="B15" i="3"/>
  <c r="D14" i="3"/>
  <c r="C14" i="3"/>
  <c r="B14" i="3"/>
  <c r="H13" i="3"/>
  <c r="G13" i="3"/>
  <c r="D13" i="3"/>
  <c r="C13" i="3"/>
  <c r="B13" i="3"/>
  <c r="H12" i="3"/>
  <c r="G12" i="3"/>
  <c r="D12" i="3"/>
  <c r="C12" i="3"/>
  <c r="B12" i="3"/>
  <c r="H11" i="3"/>
  <c r="G11" i="3"/>
  <c r="D11" i="3"/>
  <c r="C11" i="3"/>
  <c r="B11" i="3"/>
  <c r="H10" i="3"/>
  <c r="G10" i="3"/>
  <c r="D10" i="3"/>
  <c r="C10" i="3"/>
  <c r="B10" i="3"/>
  <c r="G5" i="3"/>
  <c r="E5" i="3"/>
  <c r="C5" i="3"/>
  <c r="A5" i="3"/>
  <c r="B37" i="1"/>
  <c r="B30" i="1"/>
  <c r="B31" i="1"/>
  <c r="B32" i="1"/>
  <c r="B33" i="1"/>
  <c r="B34" i="1"/>
  <c r="B35" i="1"/>
  <c r="B36" i="1"/>
  <c r="C37" i="1"/>
  <c r="A37" i="1"/>
  <c r="C36" i="1"/>
  <c r="A36" i="1"/>
  <c r="C35" i="1"/>
  <c r="A35" i="1"/>
  <c r="C34" i="1"/>
  <c r="A34" i="1"/>
  <c r="F33" i="1"/>
  <c r="E33" i="1"/>
  <c r="C33" i="1"/>
  <c r="A33" i="1"/>
  <c r="F32" i="1"/>
  <c r="E32" i="1"/>
  <c r="C32" i="1"/>
  <c r="A32" i="1"/>
  <c r="F31" i="1"/>
  <c r="E31" i="1"/>
  <c r="C31" i="1"/>
  <c r="A31" i="1"/>
  <c r="F30" i="1"/>
  <c r="E30" i="1"/>
  <c r="C30" i="1"/>
  <c r="A30" i="1"/>
  <c r="J6" i="1"/>
  <c r="G6" i="1"/>
  <c r="D6" i="1"/>
  <c r="A6" i="1"/>
</calcChain>
</file>

<file path=xl/sharedStrings.xml><?xml version="1.0" encoding="utf-8"?>
<sst xmlns="http://schemas.openxmlformats.org/spreadsheetml/2006/main" count="659" uniqueCount="42">
  <si>
    <t>SALES &amp; REVENUE ANALYSIS DASHBOARD</t>
  </si>
  <si>
    <t>Interactive-style management dashboard | 2026 sample sales dataset</t>
  </si>
  <si>
    <t>TOTAL SALES</t>
  </si>
  <si>
    <t>TOTAL REVENUE</t>
  </si>
  <si>
    <t>TOTAL QUANTITY</t>
  </si>
  <si>
    <t>AVG ORDER VALUE</t>
  </si>
  <si>
    <t>Top Products &amp; Regional Performance</t>
  </si>
  <si>
    <t>Product</t>
  </si>
  <si>
    <t>Sales</t>
  </si>
  <si>
    <t>Rank</t>
  </si>
  <si>
    <t>Region</t>
  </si>
  <si>
    <t>Revenue</t>
  </si>
  <si>
    <t>Date</t>
  </si>
  <si>
    <t>Category</t>
  </si>
  <si>
    <t>Quantity</t>
  </si>
  <si>
    <t>Unit Price</t>
  </si>
  <si>
    <t>Smartphone</t>
  </si>
  <si>
    <t>Electronics</t>
  </si>
  <si>
    <t>North</t>
  </si>
  <si>
    <t>Keyboard</t>
  </si>
  <si>
    <t>Accessories</t>
  </si>
  <si>
    <t>Desk</t>
  </si>
  <si>
    <t>Furniture</t>
  </si>
  <si>
    <t>South</t>
  </si>
  <si>
    <t>Headphones</t>
  </si>
  <si>
    <t>West</t>
  </si>
  <si>
    <t>Monitor</t>
  </si>
  <si>
    <t>Office Chair</t>
  </si>
  <si>
    <t>East</t>
  </si>
  <si>
    <t>Printer</t>
  </si>
  <si>
    <t>Laptop</t>
  </si>
  <si>
    <t>SALES &amp; REVENUE ANALYSIS</t>
  </si>
  <si>
    <t>Dashboard-ready summary of sales performance</t>
  </si>
  <si>
    <t>Total Sales</t>
  </si>
  <si>
    <t>Total Revenue</t>
  </si>
  <si>
    <t>Total Quantity</t>
  </si>
  <si>
    <t>Average Order Value</t>
  </si>
  <si>
    <t>Product Performance</t>
  </si>
  <si>
    <t>Regional Performance</t>
  </si>
  <si>
    <t>Monthly Revenue Trend</t>
  </si>
  <si>
    <t>Month</t>
  </si>
  <si>
    <t>Category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</si>
</sst>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.00"/>
    <numFmt numFmtId="166" formatCode="\₹#,##0"/>
    <numFmt numFmtId="167" formatCode="mmm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i/>
      <sz val="11"/>
      <color rgb="FF666666"/>
      <name val="Calibri"/>
    </font>
    <font>
      <b/>
      <sz val="16"/>
      <color rgb="FF1F1F1F"/>
      <name val="Calibri"/>
    </font>
    <font>
      <b/>
      <sz val="14"/>
      <color rgb="FFFFFFFF"/>
      <name val="Calibri"/>
    </font>
    <font>
      <b/>
      <sz val="24"/>
      <color rgb="FFFFFFFF"/>
      <name val="Calibri"/>
    </font>
    <font>
      <b/>
      <sz val="12"/>
      <color rgb="FFFFFFFF"/>
      <name val="Calibri"/>
    </font>
    <font>
      <b/>
      <sz val="2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5" borderId="1" xfId="0" applyFont="1" applyFill="1" applyBorder="1"/>
    <xf numFmtId="0" fontId="0" fillId="0" borderId="1" xfId="0" applyBorder="1"/>
    <xf numFmtId="166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0" fontId="1" fillId="5" borderId="0" xfId="0" applyFont="1" applyFill="1"/>
    <xf numFmtId="167" fontId="0" fillId="0" borderId="1" xfId="0" applyNumberFormat="1" applyBorder="1"/>
    <xf numFmtId="167" fontId="1" fillId="5" borderId="1" xfId="0" applyNumberFormat="1" applyFont="1" applyFill="1" applyBorder="1"/>
    <xf numFmtId="166" fontId="1" fillId="5" borderId="1" xfId="0" applyNumberFormat="1" applyFont="1" applyFill="1" applyBorder="1"/>
    <xf numFmtId="0" fontId="5" fillId="2" borderId="1" xfId="0" applyFont="1" applyFill="1" applyBorder="1"/>
    <xf numFmtId="0" fontId="0" fillId="0" borderId="0" xfId="0"/>
    <xf numFmtId="0" fontId="6" fillId="2" borderId="1" xfId="0" applyFont="1" applyFill="1" applyBorder="1"/>
    <xf numFmtId="166" fontId="8" fillId="4" borderId="1" xfId="0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7" fillId="3" borderId="1" xfId="0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166" fontId="4" fillId="4" borderId="1" xfId="0" applyNumberFormat="1" applyFont="1" applyFill="1" applyBorder="1"/>
    <xf numFmtId="3" fontId="4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Analysis!B9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Analysis!$A$10:$A$17</c:f>
              <c:strCache>
                <c:ptCount val="8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Keyboard</c:v>
                </c:pt>
                <c:pt idx="4">
                  <c:v>Office Chair</c:v>
                </c:pt>
                <c:pt idx="5">
                  <c:v>Monitor</c:v>
                </c:pt>
                <c:pt idx="6">
                  <c:v>Desk</c:v>
                </c:pt>
                <c:pt idx="7">
                  <c:v>Printer</c:v>
                </c:pt>
              </c:strCache>
            </c:strRef>
          </c:cat>
          <c:val>
            <c:numRef>
              <c:f>Analysis!$B$10:$B$17</c:f>
              <c:numCache>
                <c:formatCode>\₹#,##0</c:formatCode>
                <c:ptCount val="8"/>
                <c:pt idx="0">
                  <c:v>6273532.1299999999</c:v>
                </c:pt>
                <c:pt idx="1">
                  <c:v>4462850.5200000005</c:v>
                </c:pt>
                <c:pt idx="2">
                  <c:v>302773.25</c:v>
                </c:pt>
                <c:pt idx="3">
                  <c:v>286027.81</c:v>
                </c:pt>
                <c:pt idx="4">
                  <c:v>1882015.3800000001</c:v>
                </c:pt>
                <c:pt idx="5">
                  <c:v>1770003.5599999998</c:v>
                </c:pt>
                <c:pt idx="6">
                  <c:v>1542324.8599999999</c:v>
                </c:pt>
                <c:pt idx="7">
                  <c:v>1794869.9900000005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2-3548-A291-DB62F10F5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Analysis!H17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Analysis!$F$18:$F$24</c:f>
              <c:numCache>
                <c:formatCode>mmm</c:formatCode>
                <c:ptCount val="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cat>
          <c:val>
            <c:numRef>
              <c:f>Analysis!$H$18:$H$24</c:f>
              <c:numCache>
                <c:formatCode>\₹#,##0</c:formatCode>
                <c:ptCount val="7"/>
                <c:pt idx="0">
                  <c:v>2585674.3699999992</c:v>
                </c:pt>
                <c:pt idx="1">
                  <c:v>1378185.46</c:v>
                </c:pt>
                <c:pt idx="2">
                  <c:v>3235150.9199999995</c:v>
                </c:pt>
                <c:pt idx="3">
                  <c:v>2550057.38</c:v>
                </c:pt>
                <c:pt idx="4">
                  <c:v>2078151.6600000001</c:v>
                </c:pt>
                <c:pt idx="5">
                  <c:v>2565202.2199999997</c:v>
                </c:pt>
                <c:pt idx="6">
                  <c:v>3254245.11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C9-154E-A574-14986E894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Analysis!B20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Analysis!$A$21:$A$23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Furniture</c:v>
                </c:pt>
              </c:strCache>
            </c:strRef>
          </c:cat>
          <c:val>
            <c:numRef>
              <c:f>Analysis!$B$21:$B$23</c:f>
              <c:numCache>
                <c:formatCode>\₹#,##0</c:formatCode>
                <c:ptCount val="3"/>
                <c:pt idx="0">
                  <c:v>14301256.199999999</c:v>
                </c:pt>
                <c:pt idx="1">
                  <c:v>588801.06000000006</c:v>
                </c:pt>
                <c:pt idx="2">
                  <c:v>3424340.2400000016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D-2644-B498-8EDEFFC5F8C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Analysis!B9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Analysis!$A$10:$A$17</c:f>
              <c:strCache>
                <c:ptCount val="8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Keyboard</c:v>
                </c:pt>
                <c:pt idx="4">
                  <c:v>Office Chair</c:v>
                </c:pt>
                <c:pt idx="5">
                  <c:v>Monitor</c:v>
                </c:pt>
                <c:pt idx="6">
                  <c:v>Desk</c:v>
                </c:pt>
                <c:pt idx="7">
                  <c:v>Printer</c:v>
                </c:pt>
              </c:strCache>
            </c:strRef>
          </c:cat>
          <c:val>
            <c:numRef>
              <c:f>Analysis!$B$10:$B$17</c:f>
              <c:numCache>
                <c:formatCode>\₹#,##0</c:formatCode>
                <c:ptCount val="8"/>
                <c:pt idx="0">
                  <c:v>6273532.1299999999</c:v>
                </c:pt>
                <c:pt idx="1">
                  <c:v>4462850.5200000005</c:v>
                </c:pt>
                <c:pt idx="2">
                  <c:v>302773.25</c:v>
                </c:pt>
                <c:pt idx="3">
                  <c:v>286027.81</c:v>
                </c:pt>
                <c:pt idx="4">
                  <c:v>1882015.3800000001</c:v>
                </c:pt>
                <c:pt idx="5">
                  <c:v>1770003.5599999998</c:v>
                </c:pt>
                <c:pt idx="6">
                  <c:v>1542324.8599999999</c:v>
                </c:pt>
                <c:pt idx="7">
                  <c:v>1794869.9900000005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B-F049-99C2-42B1E7F92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Analysis!H17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Analysis!$F$18:$F$24</c:f>
              <c:numCache>
                <c:formatCode>mmm</c:formatCode>
                <c:ptCount val="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cat>
          <c:val>
            <c:numRef>
              <c:f>Analysis!$H$18:$H$24</c:f>
              <c:numCache>
                <c:formatCode>\₹#,##0</c:formatCode>
                <c:ptCount val="7"/>
                <c:pt idx="0">
                  <c:v>2585674.3699999992</c:v>
                </c:pt>
                <c:pt idx="1">
                  <c:v>1378185.46</c:v>
                </c:pt>
                <c:pt idx="2">
                  <c:v>3235150.9199999995</c:v>
                </c:pt>
                <c:pt idx="3">
                  <c:v>2550057.38</c:v>
                </c:pt>
                <c:pt idx="4">
                  <c:v>2078151.6600000001</c:v>
                </c:pt>
                <c:pt idx="5">
                  <c:v>2565202.2199999997</c:v>
                </c:pt>
                <c:pt idx="6">
                  <c:v>3254245.11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1E-E34D-951D-43D970D76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Analysis!B20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Analysis!$A$21:$A$23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Furniture</c:v>
                </c:pt>
              </c:strCache>
            </c:strRef>
          </c:cat>
          <c:val>
            <c:numRef>
              <c:f>Analysis!$B$21:$B$23</c:f>
              <c:numCache>
                <c:formatCode>\₹#,##0</c:formatCode>
                <c:ptCount val="3"/>
                <c:pt idx="0">
                  <c:v>14301256.199999999</c:v>
                </c:pt>
                <c:pt idx="1">
                  <c:v>588801.06000000006</c:v>
                </c:pt>
                <c:pt idx="2">
                  <c:v>3424340.2400000016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9-CD42-A48F-D150169C4ED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 /><Relationship Id="rId2" Type="http://schemas.openxmlformats.org/officeDocument/2006/relationships/chart" Target="../charts/chart5.xml" /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24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11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H201">
  <autoFilter ref="A1:H201" xr:uid="{00000000-0009-0000-0100-000001000000}"/>
  <tableColumns count="8">
    <tableColumn id="1" xr3:uid="{00000000-0010-0000-0000-000001000000}" name="Date"/>
    <tableColumn id="2" xr3:uid="{00000000-0010-0000-0000-000002000000}" name="Product"/>
    <tableColumn id="3" xr3:uid="{00000000-0010-0000-0000-000003000000}" name="Category"/>
    <tableColumn id="4" xr3:uid="{00000000-0010-0000-0000-000004000000}" name="Region"/>
    <tableColumn id="5" xr3:uid="{00000000-0010-0000-0000-000005000000}" name="Quantity"/>
    <tableColumn id="6" xr3:uid="{00000000-0010-0000-0000-000006000000}" name="Unit Price"/>
    <tableColumn id="7" xr3:uid="{00000000-0010-0000-0000-000007000000}" name="Sales"/>
    <tableColumn id="8" xr3:uid="{00000000-0010-0000-0000-000008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4" width="14.9296875" customWidth="1"/>
  </cols>
  <sheetData>
    <row r="1" spans="1:14" x14ac:dyDescent="0.2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">
      <c r="A3" s="16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5" spans="1:14" x14ac:dyDescent="0.2">
      <c r="A5" s="17" t="s">
        <v>2</v>
      </c>
      <c r="B5" s="12"/>
      <c r="C5" s="12"/>
      <c r="D5" s="17" t="s">
        <v>3</v>
      </c>
      <c r="E5" s="12"/>
      <c r="F5" s="12"/>
      <c r="G5" s="17" t="s">
        <v>4</v>
      </c>
      <c r="H5" s="12"/>
      <c r="I5" s="12"/>
      <c r="J5" s="17" t="s">
        <v>5</v>
      </c>
      <c r="K5" s="12"/>
      <c r="L5" s="12"/>
    </row>
    <row r="6" spans="1:14" x14ac:dyDescent="0.2">
      <c r="A6" s="14">
        <f>Analysis!A5</f>
        <v>18314397.500000007</v>
      </c>
      <c r="B6" s="12"/>
      <c r="C6" s="12"/>
      <c r="D6" s="14">
        <f>Analysis!C5</f>
        <v>17676951.939999994</v>
      </c>
      <c r="E6" s="12"/>
      <c r="F6" s="12"/>
      <c r="G6" s="15">
        <f>Analysis!E5</f>
        <v>1343</v>
      </c>
      <c r="H6" s="12"/>
      <c r="I6" s="12"/>
      <c r="J6" s="14">
        <f>Analysis!G5</f>
        <v>91571.987500000032</v>
      </c>
      <c r="K6" s="12"/>
      <c r="L6" s="12"/>
    </row>
    <row r="7" spans="1:14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28" spans="1:6" ht="18.75" x14ac:dyDescent="0.25">
      <c r="A28" s="11" t="s">
        <v>6</v>
      </c>
      <c r="B28" s="12"/>
      <c r="C28" s="12"/>
      <c r="D28" s="12"/>
      <c r="E28" s="12"/>
      <c r="F28" s="12"/>
    </row>
    <row r="29" spans="1:6" x14ac:dyDescent="0.2">
      <c r="A29" s="1" t="s">
        <v>7</v>
      </c>
      <c r="B29" s="1" t="s">
        <v>8</v>
      </c>
      <c r="C29" s="1" t="s">
        <v>9</v>
      </c>
      <c r="E29" s="1" t="s">
        <v>10</v>
      </c>
      <c r="F29" s="1" t="s">
        <v>11</v>
      </c>
    </row>
    <row r="30" spans="1:6" x14ac:dyDescent="0.2">
      <c r="A30" s="2" t="str">
        <f>Analysis!A10</f>
        <v>Laptop</v>
      </c>
      <c r="B30" s="3">
        <f>Analysis!B10</f>
        <v>6273532.1299999999</v>
      </c>
      <c r="C30" s="2">
        <f>RANK(B30,$B$30:$B$37,0)</f>
        <v>1</v>
      </c>
      <c r="E30" s="2" t="str">
        <f>Analysis!F10</f>
        <v>North</v>
      </c>
      <c r="F30" s="3">
        <f>Analysis!H10</f>
        <v>4748314.8100000005</v>
      </c>
    </row>
    <row r="31" spans="1:6" x14ac:dyDescent="0.2">
      <c r="A31" s="2" t="str">
        <f>Analysis!A11</f>
        <v>Smartphone</v>
      </c>
      <c r="B31" s="3">
        <f>Analysis!B11</f>
        <v>4462850.5200000005</v>
      </c>
      <c r="C31" s="2">
        <f>RANK(B31,$B$30:$B$37,0)</f>
        <v>2</v>
      </c>
      <c r="E31" s="2" t="str">
        <f>Analysis!F11</f>
        <v>South</v>
      </c>
      <c r="F31" s="3">
        <f>Analysis!H11</f>
        <v>4924068.5200000005</v>
      </c>
    </row>
    <row r="32" spans="1:6" x14ac:dyDescent="0.2">
      <c r="A32" s="2" t="str">
        <f>Analysis!A12</f>
        <v>Headphones</v>
      </c>
      <c r="B32" s="3">
        <f>Analysis!B12</f>
        <v>302773.25</v>
      </c>
      <c r="C32" s="2">
        <f>RANK(B32,$B$30:$B$37,0)</f>
        <v>7</v>
      </c>
      <c r="E32" s="2" t="str">
        <f>Analysis!F12</f>
        <v>East</v>
      </c>
      <c r="F32" s="3">
        <f>Analysis!H12</f>
        <v>3962620.3599999994</v>
      </c>
    </row>
    <row r="33" spans="1:6" x14ac:dyDescent="0.2">
      <c r="A33" s="2" t="str">
        <f>Analysis!A13</f>
        <v>Keyboard</v>
      </c>
      <c r="B33" s="3">
        <f>Analysis!B13</f>
        <v>286027.81</v>
      </c>
      <c r="C33" s="2">
        <f>RANK(B33,$B$30:$B$37,0)</f>
        <v>8</v>
      </c>
      <c r="E33" s="2" t="str">
        <f>Analysis!F13</f>
        <v>West</v>
      </c>
      <c r="F33" s="3">
        <f>Analysis!H13</f>
        <v>4041948.2499999991</v>
      </c>
    </row>
    <row r="34" spans="1:6" x14ac:dyDescent="0.2">
      <c r="A34" s="2" t="str">
        <f>Analysis!A14</f>
        <v>Office Chair</v>
      </c>
      <c r="B34" s="3">
        <f>Analysis!B14</f>
        <v>1882015.3800000001</v>
      </c>
      <c r="C34" s="2">
        <f>RANK(B34,$B$30:$B$37,0)</f>
        <v>3</v>
      </c>
    </row>
    <row r="35" spans="1:6" x14ac:dyDescent="0.2">
      <c r="A35" s="2" t="str">
        <f>Analysis!A15</f>
        <v>Monitor</v>
      </c>
      <c r="B35" s="3">
        <f>Analysis!B15</f>
        <v>1770003.5599999998</v>
      </c>
      <c r="C35" s="2">
        <f>RANK(B35,$B$30:$B$37,0)</f>
        <v>5</v>
      </c>
    </row>
    <row r="36" spans="1:6" x14ac:dyDescent="0.2">
      <c r="A36" s="2" t="str">
        <f>Analysis!A16</f>
        <v>Desk</v>
      </c>
      <c r="B36" s="3">
        <f>Analysis!B16</f>
        <v>1542324.8599999999</v>
      </c>
      <c r="C36" s="2">
        <f>RANK(B36,$B$30:$B$37,0)</f>
        <v>6</v>
      </c>
    </row>
    <row r="37" spans="1:6" x14ac:dyDescent="0.2">
      <c r="A37" s="2" t="str">
        <f>Analysis!A17</f>
        <v>Printer</v>
      </c>
      <c r="B37" s="3">
        <f>Analysis!B17</f>
        <v>1794869.9900000005</v>
      </c>
      <c r="C37" s="2">
        <f>RANK(B37,$B$30:$B$37,0)</f>
        <v>4</v>
      </c>
    </row>
  </sheetData>
  <mergeCells count="11">
    <mergeCell ref="A28:F28"/>
    <mergeCell ref="A1:N2"/>
    <mergeCell ref="A6:C7"/>
    <mergeCell ref="G6:I7"/>
    <mergeCell ref="A3:N3"/>
    <mergeCell ref="D6:F7"/>
    <mergeCell ref="J5:L5"/>
    <mergeCell ref="D5:F5"/>
    <mergeCell ref="A5:C5"/>
    <mergeCell ref="G5:I5"/>
    <mergeCell ref="J6:L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3" width="18.0234375" customWidth="1"/>
    <col min="4" max="5" width="11.97265625" customWidth="1"/>
    <col min="6" max="6" width="13.98828125" customWidth="1"/>
    <col min="7" max="8" width="16.0078125" customWidth="1"/>
  </cols>
  <sheetData>
    <row r="1" spans="1:8" x14ac:dyDescent="0.2">
      <c r="A1" s="4" t="s">
        <v>12</v>
      </c>
      <c r="B1" s="4" t="s">
        <v>7</v>
      </c>
      <c r="C1" s="4" t="s">
        <v>13</v>
      </c>
      <c r="D1" s="4" t="s">
        <v>10</v>
      </c>
      <c r="E1" s="4" t="s">
        <v>14</v>
      </c>
      <c r="F1" s="4" t="s">
        <v>15</v>
      </c>
      <c r="G1" s="4" t="s">
        <v>8</v>
      </c>
      <c r="H1" s="4" t="s">
        <v>11</v>
      </c>
    </row>
    <row r="2" spans="1:8" x14ac:dyDescent="0.2">
      <c r="A2" s="5">
        <v>46186</v>
      </c>
      <c r="B2" s="2" t="s">
        <v>16</v>
      </c>
      <c r="C2" s="2" t="s">
        <v>17</v>
      </c>
      <c r="D2" s="2" t="s">
        <v>18</v>
      </c>
      <c r="E2" s="2">
        <v>12</v>
      </c>
      <c r="F2" s="6">
        <v>26740.16</v>
      </c>
      <c r="G2" s="6">
        <v>320881.91999999998</v>
      </c>
      <c r="H2" s="6">
        <v>300941.31</v>
      </c>
    </row>
    <row r="3" spans="1:8" x14ac:dyDescent="0.2">
      <c r="A3" s="5">
        <v>46211</v>
      </c>
      <c r="B3" s="2" t="s">
        <v>16</v>
      </c>
      <c r="C3" s="2" t="s">
        <v>17</v>
      </c>
      <c r="D3" s="2" t="s">
        <v>18</v>
      </c>
      <c r="E3" s="2">
        <v>10</v>
      </c>
      <c r="F3" s="6">
        <v>27562.76</v>
      </c>
      <c r="G3" s="6">
        <v>275627.59999999998</v>
      </c>
      <c r="H3" s="6">
        <v>254234.43</v>
      </c>
    </row>
    <row r="4" spans="1:8" x14ac:dyDescent="0.2">
      <c r="A4" s="5">
        <v>46078</v>
      </c>
      <c r="B4" s="2" t="s">
        <v>19</v>
      </c>
      <c r="C4" s="2" t="s">
        <v>20</v>
      </c>
      <c r="D4" s="2" t="s">
        <v>18</v>
      </c>
      <c r="E4" s="2">
        <v>9</v>
      </c>
      <c r="F4" s="6">
        <v>1691.58</v>
      </c>
      <c r="G4" s="6">
        <v>15224.22</v>
      </c>
      <c r="H4" s="6">
        <v>14797.8</v>
      </c>
    </row>
    <row r="5" spans="1:8" x14ac:dyDescent="0.2">
      <c r="A5" s="5">
        <v>46162</v>
      </c>
      <c r="B5" s="2" t="s">
        <v>21</v>
      </c>
      <c r="C5" s="2" t="s">
        <v>22</v>
      </c>
      <c r="D5" s="2" t="s">
        <v>23</v>
      </c>
      <c r="E5" s="2">
        <v>8</v>
      </c>
      <c r="F5" s="6">
        <v>7124.97</v>
      </c>
      <c r="G5" s="6">
        <v>56999.76</v>
      </c>
      <c r="H5" s="6">
        <v>56130.77</v>
      </c>
    </row>
    <row r="6" spans="1:8" x14ac:dyDescent="0.2">
      <c r="A6" s="5">
        <v>46024</v>
      </c>
      <c r="B6" s="2" t="s">
        <v>24</v>
      </c>
      <c r="C6" s="2" t="s">
        <v>20</v>
      </c>
      <c r="D6" s="2" t="s">
        <v>25</v>
      </c>
      <c r="E6" s="2">
        <v>6</v>
      </c>
      <c r="F6" s="6">
        <v>2388.94</v>
      </c>
      <c r="G6" s="6">
        <v>14333.64</v>
      </c>
      <c r="H6" s="6">
        <v>13433.85</v>
      </c>
    </row>
    <row r="7" spans="1:8" x14ac:dyDescent="0.2">
      <c r="A7" s="5">
        <v>46218</v>
      </c>
      <c r="B7" s="2" t="s">
        <v>26</v>
      </c>
      <c r="C7" s="2" t="s">
        <v>17</v>
      </c>
      <c r="D7" s="2" t="s">
        <v>18</v>
      </c>
      <c r="E7" s="2">
        <v>2</v>
      </c>
      <c r="F7" s="6">
        <v>11711.83</v>
      </c>
      <c r="G7" s="6">
        <v>23423.66</v>
      </c>
      <c r="H7" s="6">
        <v>22222.46</v>
      </c>
    </row>
    <row r="8" spans="1:8" x14ac:dyDescent="0.2">
      <c r="A8" s="5">
        <v>46111</v>
      </c>
      <c r="B8" s="2" t="s">
        <v>27</v>
      </c>
      <c r="C8" s="2" t="s">
        <v>22</v>
      </c>
      <c r="D8" s="2" t="s">
        <v>18</v>
      </c>
      <c r="E8" s="2">
        <v>12</v>
      </c>
      <c r="F8" s="6">
        <v>8431.02</v>
      </c>
      <c r="G8" s="6">
        <v>101172.24</v>
      </c>
      <c r="H8" s="6">
        <v>94088.78</v>
      </c>
    </row>
    <row r="9" spans="1:8" x14ac:dyDescent="0.2">
      <c r="A9" s="5">
        <v>46119</v>
      </c>
      <c r="B9" s="2" t="s">
        <v>16</v>
      </c>
      <c r="C9" s="2" t="s">
        <v>17</v>
      </c>
      <c r="D9" s="2" t="s">
        <v>28</v>
      </c>
      <c r="E9" s="2">
        <v>11</v>
      </c>
      <c r="F9" s="6">
        <v>28663.71</v>
      </c>
      <c r="G9" s="6">
        <v>315300.81</v>
      </c>
      <c r="H9" s="6">
        <v>311812.5</v>
      </c>
    </row>
    <row r="10" spans="1:8" x14ac:dyDescent="0.2">
      <c r="A10" s="5">
        <v>46170</v>
      </c>
      <c r="B10" s="2" t="s">
        <v>19</v>
      </c>
      <c r="C10" s="2" t="s">
        <v>20</v>
      </c>
      <c r="D10" s="2" t="s">
        <v>18</v>
      </c>
      <c r="E10" s="2">
        <v>1</v>
      </c>
      <c r="F10" s="6">
        <v>1858.05</v>
      </c>
      <c r="G10" s="6">
        <v>1858.05</v>
      </c>
      <c r="H10" s="6">
        <v>1824.32</v>
      </c>
    </row>
    <row r="11" spans="1:8" x14ac:dyDescent="0.2">
      <c r="A11" s="5">
        <v>46043</v>
      </c>
      <c r="B11" s="2" t="s">
        <v>19</v>
      </c>
      <c r="C11" s="2" t="s">
        <v>20</v>
      </c>
      <c r="D11" s="2" t="s">
        <v>18</v>
      </c>
      <c r="E11" s="2">
        <v>7</v>
      </c>
      <c r="F11" s="6">
        <v>1720.07</v>
      </c>
      <c r="G11" s="6">
        <v>12040.49</v>
      </c>
      <c r="H11" s="6">
        <v>11689.57</v>
      </c>
    </row>
    <row r="12" spans="1:8" x14ac:dyDescent="0.2">
      <c r="A12" s="5">
        <v>46116</v>
      </c>
      <c r="B12" s="2" t="s">
        <v>24</v>
      </c>
      <c r="C12" s="2" t="s">
        <v>20</v>
      </c>
      <c r="D12" s="2" t="s">
        <v>28</v>
      </c>
      <c r="E12" s="2">
        <v>6</v>
      </c>
      <c r="F12" s="6">
        <v>2354.75</v>
      </c>
      <c r="G12" s="6">
        <v>14128.5</v>
      </c>
      <c r="H12" s="6">
        <v>13299.98</v>
      </c>
    </row>
    <row r="13" spans="1:8" x14ac:dyDescent="0.2">
      <c r="A13" s="5">
        <v>46197</v>
      </c>
      <c r="B13" s="2" t="s">
        <v>16</v>
      </c>
      <c r="C13" s="2" t="s">
        <v>17</v>
      </c>
      <c r="D13" s="2" t="s">
        <v>23</v>
      </c>
      <c r="E13" s="2">
        <v>9</v>
      </c>
      <c r="F13" s="6">
        <v>29283.11</v>
      </c>
      <c r="G13" s="6">
        <v>263547.99</v>
      </c>
      <c r="H13" s="6">
        <v>245909.3</v>
      </c>
    </row>
    <row r="14" spans="1:8" x14ac:dyDescent="0.2">
      <c r="A14" s="5">
        <v>46120</v>
      </c>
      <c r="B14" s="2" t="s">
        <v>27</v>
      </c>
      <c r="C14" s="2" t="s">
        <v>22</v>
      </c>
      <c r="D14" s="2" t="s">
        <v>23</v>
      </c>
      <c r="E14" s="2">
        <v>11</v>
      </c>
      <c r="F14" s="6">
        <v>8201.2800000000007</v>
      </c>
      <c r="G14" s="6">
        <v>90214.080000000002</v>
      </c>
      <c r="H14" s="6">
        <v>88541.97</v>
      </c>
    </row>
    <row r="15" spans="1:8" x14ac:dyDescent="0.2">
      <c r="A15" s="5">
        <v>46037</v>
      </c>
      <c r="B15" s="2" t="s">
        <v>19</v>
      </c>
      <c r="C15" s="2" t="s">
        <v>20</v>
      </c>
      <c r="D15" s="2" t="s">
        <v>18</v>
      </c>
      <c r="E15" s="2">
        <v>6</v>
      </c>
      <c r="F15" s="6">
        <v>1764.42</v>
      </c>
      <c r="G15" s="6">
        <v>10586.52</v>
      </c>
      <c r="H15" s="6">
        <v>9795.65</v>
      </c>
    </row>
    <row r="16" spans="1:8" x14ac:dyDescent="0.2">
      <c r="A16" s="5">
        <v>46168</v>
      </c>
      <c r="B16" s="2" t="s">
        <v>26</v>
      </c>
      <c r="C16" s="2" t="s">
        <v>17</v>
      </c>
      <c r="D16" s="2" t="s">
        <v>23</v>
      </c>
      <c r="E16" s="2">
        <v>11</v>
      </c>
      <c r="F16" s="6">
        <v>11998.16</v>
      </c>
      <c r="G16" s="6">
        <v>131979.76</v>
      </c>
      <c r="H16" s="6">
        <v>130762.2</v>
      </c>
    </row>
    <row r="17" spans="1:8" x14ac:dyDescent="0.2">
      <c r="A17" s="5">
        <v>46187</v>
      </c>
      <c r="B17" s="2" t="s">
        <v>29</v>
      </c>
      <c r="C17" s="2" t="s">
        <v>17</v>
      </c>
      <c r="D17" s="2" t="s">
        <v>23</v>
      </c>
      <c r="E17" s="2">
        <v>5</v>
      </c>
      <c r="F17" s="6">
        <v>8815.2999999999993</v>
      </c>
      <c r="G17" s="6">
        <v>44076.5</v>
      </c>
      <c r="H17" s="6">
        <v>43177.3</v>
      </c>
    </row>
    <row r="18" spans="1:8" x14ac:dyDescent="0.2">
      <c r="A18" s="5">
        <v>46160</v>
      </c>
      <c r="B18" s="2" t="s">
        <v>27</v>
      </c>
      <c r="C18" s="2" t="s">
        <v>22</v>
      </c>
      <c r="D18" s="2" t="s">
        <v>25</v>
      </c>
      <c r="E18" s="2">
        <v>10</v>
      </c>
      <c r="F18" s="6">
        <v>8328.98</v>
      </c>
      <c r="G18" s="6">
        <v>83289.8</v>
      </c>
      <c r="H18" s="6">
        <v>78087.990000000005</v>
      </c>
    </row>
    <row r="19" spans="1:8" x14ac:dyDescent="0.2">
      <c r="A19" s="5">
        <v>46058</v>
      </c>
      <c r="B19" s="2" t="s">
        <v>29</v>
      </c>
      <c r="C19" s="2" t="s">
        <v>17</v>
      </c>
      <c r="D19" s="2" t="s">
        <v>18</v>
      </c>
      <c r="E19" s="2">
        <v>1</v>
      </c>
      <c r="F19" s="6">
        <v>10186.1</v>
      </c>
      <c r="G19" s="6">
        <v>10186.1</v>
      </c>
      <c r="H19" s="6">
        <v>9495.76</v>
      </c>
    </row>
    <row r="20" spans="1:8" x14ac:dyDescent="0.2">
      <c r="A20" s="5">
        <v>46063</v>
      </c>
      <c r="B20" s="2" t="s">
        <v>21</v>
      </c>
      <c r="C20" s="2" t="s">
        <v>22</v>
      </c>
      <c r="D20" s="2" t="s">
        <v>18</v>
      </c>
      <c r="E20" s="2">
        <v>7</v>
      </c>
      <c r="F20" s="6">
        <v>6834.27</v>
      </c>
      <c r="G20" s="6">
        <v>47839.89</v>
      </c>
      <c r="H20" s="6">
        <v>47825.05</v>
      </c>
    </row>
    <row r="21" spans="1:8" x14ac:dyDescent="0.2">
      <c r="A21" s="5">
        <v>46158</v>
      </c>
      <c r="B21" s="2" t="s">
        <v>27</v>
      </c>
      <c r="C21" s="2" t="s">
        <v>22</v>
      </c>
      <c r="D21" s="2" t="s">
        <v>18</v>
      </c>
      <c r="E21" s="2">
        <v>11</v>
      </c>
      <c r="F21" s="6">
        <v>8875.23</v>
      </c>
      <c r="G21" s="6">
        <v>97627.53</v>
      </c>
      <c r="H21" s="6">
        <v>95141.62</v>
      </c>
    </row>
    <row r="22" spans="1:8" x14ac:dyDescent="0.2">
      <c r="A22" s="5">
        <v>46160</v>
      </c>
      <c r="B22" s="2" t="s">
        <v>27</v>
      </c>
      <c r="C22" s="2" t="s">
        <v>22</v>
      </c>
      <c r="D22" s="2" t="s">
        <v>28</v>
      </c>
      <c r="E22" s="2">
        <v>2</v>
      </c>
      <c r="F22" s="6">
        <v>8148.95</v>
      </c>
      <c r="G22" s="6">
        <v>16297.9</v>
      </c>
      <c r="H22" s="6">
        <v>15200.28</v>
      </c>
    </row>
    <row r="23" spans="1:8" x14ac:dyDescent="0.2">
      <c r="A23" s="5">
        <v>46023</v>
      </c>
      <c r="B23" s="2" t="s">
        <v>27</v>
      </c>
      <c r="C23" s="2" t="s">
        <v>22</v>
      </c>
      <c r="D23" s="2" t="s">
        <v>23</v>
      </c>
      <c r="E23" s="2">
        <v>9</v>
      </c>
      <c r="F23" s="6">
        <v>9201.4699999999993</v>
      </c>
      <c r="G23" s="6">
        <v>82813.23</v>
      </c>
      <c r="H23" s="6">
        <v>81955.41</v>
      </c>
    </row>
    <row r="24" spans="1:8" x14ac:dyDescent="0.2">
      <c r="A24" s="5">
        <v>46099</v>
      </c>
      <c r="B24" s="2" t="s">
        <v>19</v>
      </c>
      <c r="C24" s="2" t="s">
        <v>20</v>
      </c>
      <c r="D24" s="2" t="s">
        <v>23</v>
      </c>
      <c r="E24" s="2">
        <v>6</v>
      </c>
      <c r="F24" s="6">
        <v>1894.5</v>
      </c>
      <c r="G24" s="6">
        <v>11367</v>
      </c>
      <c r="H24" s="6">
        <v>10948.13</v>
      </c>
    </row>
    <row r="25" spans="1:8" x14ac:dyDescent="0.2">
      <c r="A25" s="5">
        <v>46222</v>
      </c>
      <c r="B25" s="2" t="s">
        <v>30</v>
      </c>
      <c r="C25" s="2" t="s">
        <v>17</v>
      </c>
      <c r="D25" s="2" t="s">
        <v>28</v>
      </c>
      <c r="E25" s="2">
        <v>8</v>
      </c>
      <c r="F25" s="6">
        <v>49714.239999999998</v>
      </c>
      <c r="G25" s="6">
        <v>397713.91999999998</v>
      </c>
      <c r="H25" s="6">
        <v>395458.04</v>
      </c>
    </row>
    <row r="26" spans="1:8" x14ac:dyDescent="0.2">
      <c r="A26" s="5">
        <v>46235</v>
      </c>
      <c r="B26" s="2" t="s">
        <v>27</v>
      </c>
      <c r="C26" s="2" t="s">
        <v>22</v>
      </c>
      <c r="D26" s="2" t="s">
        <v>23</v>
      </c>
      <c r="E26" s="2">
        <v>1</v>
      </c>
      <c r="F26" s="6">
        <v>8059.48</v>
      </c>
      <c r="G26" s="6">
        <v>8059.48</v>
      </c>
      <c r="H26" s="6">
        <v>7780.53</v>
      </c>
    </row>
    <row r="27" spans="1:8" x14ac:dyDescent="0.2">
      <c r="A27" s="5">
        <v>46043</v>
      </c>
      <c r="B27" s="2" t="s">
        <v>16</v>
      </c>
      <c r="C27" s="2" t="s">
        <v>17</v>
      </c>
      <c r="D27" s="2" t="s">
        <v>25</v>
      </c>
      <c r="E27" s="2">
        <v>2</v>
      </c>
      <c r="F27" s="6">
        <v>30676.71</v>
      </c>
      <c r="G27" s="6">
        <v>61353.42</v>
      </c>
      <c r="H27" s="6">
        <v>59059.81</v>
      </c>
    </row>
    <row r="28" spans="1:8" x14ac:dyDescent="0.2">
      <c r="A28" s="5">
        <v>46055</v>
      </c>
      <c r="B28" s="2" t="s">
        <v>24</v>
      </c>
      <c r="C28" s="2" t="s">
        <v>20</v>
      </c>
      <c r="D28" s="2" t="s">
        <v>25</v>
      </c>
      <c r="E28" s="2">
        <v>9</v>
      </c>
      <c r="F28" s="6">
        <v>2332.56</v>
      </c>
      <c r="G28" s="6">
        <v>20993.040000000001</v>
      </c>
      <c r="H28" s="6">
        <v>20199.79</v>
      </c>
    </row>
    <row r="29" spans="1:8" x14ac:dyDescent="0.2">
      <c r="A29" s="5">
        <v>46178</v>
      </c>
      <c r="B29" s="2" t="s">
        <v>21</v>
      </c>
      <c r="C29" s="2" t="s">
        <v>22</v>
      </c>
      <c r="D29" s="2" t="s">
        <v>23</v>
      </c>
      <c r="E29" s="2">
        <v>9</v>
      </c>
      <c r="F29" s="6">
        <v>7357.37</v>
      </c>
      <c r="G29" s="6">
        <v>66216.33</v>
      </c>
      <c r="H29" s="6">
        <v>64573.46</v>
      </c>
    </row>
    <row r="30" spans="1:8" x14ac:dyDescent="0.2">
      <c r="A30" s="5">
        <v>46205</v>
      </c>
      <c r="B30" s="2" t="s">
        <v>27</v>
      </c>
      <c r="C30" s="2" t="s">
        <v>22</v>
      </c>
      <c r="D30" s="2" t="s">
        <v>25</v>
      </c>
      <c r="E30" s="2">
        <v>11</v>
      </c>
      <c r="F30" s="6">
        <v>8754.7900000000009</v>
      </c>
      <c r="G30" s="6">
        <v>96302.69</v>
      </c>
      <c r="H30" s="6">
        <v>91973.69</v>
      </c>
    </row>
    <row r="31" spans="1:8" x14ac:dyDescent="0.2">
      <c r="A31" s="5">
        <v>46155</v>
      </c>
      <c r="B31" s="2" t="s">
        <v>29</v>
      </c>
      <c r="C31" s="2" t="s">
        <v>17</v>
      </c>
      <c r="D31" s="2" t="s">
        <v>18</v>
      </c>
      <c r="E31" s="2">
        <v>4</v>
      </c>
      <c r="F31" s="6">
        <v>8976.92</v>
      </c>
      <c r="G31" s="6">
        <v>35907.68</v>
      </c>
      <c r="H31" s="6">
        <v>34006.26</v>
      </c>
    </row>
    <row r="32" spans="1:8" x14ac:dyDescent="0.2">
      <c r="A32" s="5">
        <v>46173</v>
      </c>
      <c r="B32" s="2" t="s">
        <v>19</v>
      </c>
      <c r="C32" s="2" t="s">
        <v>20</v>
      </c>
      <c r="D32" s="2" t="s">
        <v>23</v>
      </c>
      <c r="E32" s="2">
        <v>1</v>
      </c>
      <c r="F32" s="6">
        <v>1645.56</v>
      </c>
      <c r="G32" s="6">
        <v>1645.56</v>
      </c>
      <c r="H32" s="6">
        <v>1597</v>
      </c>
    </row>
    <row r="33" spans="1:8" x14ac:dyDescent="0.2">
      <c r="A33" s="5">
        <v>46081</v>
      </c>
      <c r="B33" s="2" t="s">
        <v>16</v>
      </c>
      <c r="C33" s="2" t="s">
        <v>17</v>
      </c>
      <c r="D33" s="2" t="s">
        <v>18</v>
      </c>
      <c r="E33" s="2">
        <v>6</v>
      </c>
      <c r="F33" s="6">
        <v>25596.799999999999</v>
      </c>
      <c r="G33" s="6">
        <v>153580.79999999999</v>
      </c>
      <c r="H33" s="6">
        <v>144218.57</v>
      </c>
    </row>
    <row r="34" spans="1:8" x14ac:dyDescent="0.2">
      <c r="A34" s="5">
        <v>46194</v>
      </c>
      <c r="B34" s="2" t="s">
        <v>29</v>
      </c>
      <c r="C34" s="2" t="s">
        <v>17</v>
      </c>
      <c r="D34" s="2" t="s">
        <v>23</v>
      </c>
      <c r="E34" s="2">
        <v>9</v>
      </c>
      <c r="F34" s="6">
        <v>8801.39</v>
      </c>
      <c r="G34" s="6">
        <v>79212.509999999995</v>
      </c>
      <c r="H34" s="6">
        <v>78803.86</v>
      </c>
    </row>
    <row r="35" spans="1:8" x14ac:dyDescent="0.2">
      <c r="A35" s="5">
        <v>46169</v>
      </c>
      <c r="B35" s="2" t="s">
        <v>29</v>
      </c>
      <c r="C35" s="2" t="s">
        <v>17</v>
      </c>
      <c r="D35" s="2" t="s">
        <v>23</v>
      </c>
      <c r="E35" s="2">
        <v>8</v>
      </c>
      <c r="F35" s="6">
        <v>10084.24</v>
      </c>
      <c r="G35" s="6">
        <v>80673.919999999998</v>
      </c>
      <c r="H35" s="6">
        <v>75448.899999999994</v>
      </c>
    </row>
    <row r="36" spans="1:8" x14ac:dyDescent="0.2">
      <c r="A36" s="5">
        <v>46047</v>
      </c>
      <c r="B36" s="2" t="s">
        <v>21</v>
      </c>
      <c r="C36" s="2" t="s">
        <v>22</v>
      </c>
      <c r="D36" s="2" t="s">
        <v>28</v>
      </c>
      <c r="E36" s="2">
        <v>7</v>
      </c>
      <c r="F36" s="6">
        <v>6875.54</v>
      </c>
      <c r="G36" s="6">
        <v>48128.78</v>
      </c>
      <c r="H36" s="6">
        <v>47604.51</v>
      </c>
    </row>
    <row r="37" spans="1:8" x14ac:dyDescent="0.2">
      <c r="A37" s="5">
        <v>46036</v>
      </c>
      <c r="B37" s="2" t="s">
        <v>16</v>
      </c>
      <c r="C37" s="2" t="s">
        <v>17</v>
      </c>
      <c r="D37" s="2" t="s">
        <v>18</v>
      </c>
      <c r="E37" s="2">
        <v>7</v>
      </c>
      <c r="F37" s="6">
        <v>29278</v>
      </c>
      <c r="G37" s="6">
        <v>204946</v>
      </c>
      <c r="H37" s="6">
        <v>201676.58</v>
      </c>
    </row>
    <row r="38" spans="1:8" x14ac:dyDescent="0.2">
      <c r="A38" s="5">
        <v>46050</v>
      </c>
      <c r="B38" s="2" t="s">
        <v>19</v>
      </c>
      <c r="C38" s="2" t="s">
        <v>20</v>
      </c>
      <c r="D38" s="2" t="s">
        <v>23</v>
      </c>
      <c r="E38" s="2">
        <v>4</v>
      </c>
      <c r="F38" s="6">
        <v>1813.06</v>
      </c>
      <c r="G38" s="6">
        <v>7252.24</v>
      </c>
      <c r="H38" s="6">
        <v>6753.39</v>
      </c>
    </row>
    <row r="39" spans="1:8" x14ac:dyDescent="0.2">
      <c r="A39" s="5">
        <v>46069</v>
      </c>
      <c r="B39" s="2" t="s">
        <v>27</v>
      </c>
      <c r="C39" s="2" t="s">
        <v>22</v>
      </c>
      <c r="D39" s="2" t="s">
        <v>25</v>
      </c>
      <c r="E39" s="2">
        <v>4</v>
      </c>
      <c r="F39" s="6">
        <v>9136.6299999999992</v>
      </c>
      <c r="G39" s="6">
        <v>36546.519999999997</v>
      </c>
      <c r="H39" s="6">
        <v>33843.199999999997</v>
      </c>
    </row>
    <row r="40" spans="1:8" x14ac:dyDescent="0.2">
      <c r="A40" s="5">
        <v>46229</v>
      </c>
      <c r="B40" s="2" t="s">
        <v>16</v>
      </c>
      <c r="C40" s="2" t="s">
        <v>17</v>
      </c>
      <c r="D40" s="2" t="s">
        <v>18</v>
      </c>
      <c r="E40" s="2">
        <v>11</v>
      </c>
      <c r="F40" s="6">
        <v>30795.98</v>
      </c>
      <c r="G40" s="6">
        <v>338755.78</v>
      </c>
      <c r="H40" s="6">
        <v>334312.05</v>
      </c>
    </row>
    <row r="41" spans="1:8" x14ac:dyDescent="0.2">
      <c r="A41" s="5">
        <v>46046</v>
      </c>
      <c r="B41" s="2" t="s">
        <v>19</v>
      </c>
      <c r="C41" s="2" t="s">
        <v>20</v>
      </c>
      <c r="D41" s="2" t="s">
        <v>23</v>
      </c>
      <c r="E41" s="2">
        <v>7</v>
      </c>
      <c r="F41" s="6">
        <v>1794.83</v>
      </c>
      <c r="G41" s="6">
        <v>12563.81</v>
      </c>
      <c r="H41" s="6">
        <v>11773.54</v>
      </c>
    </row>
    <row r="42" spans="1:8" x14ac:dyDescent="0.2">
      <c r="A42" s="5">
        <v>46125</v>
      </c>
      <c r="B42" s="2" t="s">
        <v>30</v>
      </c>
      <c r="C42" s="2" t="s">
        <v>17</v>
      </c>
      <c r="D42" s="2" t="s">
        <v>23</v>
      </c>
      <c r="E42" s="2">
        <v>7</v>
      </c>
      <c r="F42" s="6">
        <v>49523.71</v>
      </c>
      <c r="G42" s="6">
        <v>346665.97</v>
      </c>
      <c r="H42" s="6">
        <v>329760.37</v>
      </c>
    </row>
    <row r="43" spans="1:8" x14ac:dyDescent="0.2">
      <c r="A43" s="5">
        <v>46223</v>
      </c>
      <c r="B43" s="2" t="s">
        <v>29</v>
      </c>
      <c r="C43" s="2" t="s">
        <v>17</v>
      </c>
      <c r="D43" s="2" t="s">
        <v>28</v>
      </c>
      <c r="E43" s="2">
        <v>7</v>
      </c>
      <c r="F43" s="6">
        <v>9873.52</v>
      </c>
      <c r="G43" s="6">
        <v>69114.64</v>
      </c>
      <c r="H43" s="6">
        <v>67624.56</v>
      </c>
    </row>
    <row r="44" spans="1:8" x14ac:dyDescent="0.2">
      <c r="A44" s="5">
        <v>46223</v>
      </c>
      <c r="B44" s="2" t="s">
        <v>29</v>
      </c>
      <c r="C44" s="2" t="s">
        <v>17</v>
      </c>
      <c r="D44" s="2" t="s">
        <v>23</v>
      </c>
      <c r="E44" s="2">
        <v>4</v>
      </c>
      <c r="F44" s="6">
        <v>9113.74</v>
      </c>
      <c r="G44" s="6">
        <v>36454.959999999999</v>
      </c>
      <c r="H44" s="6">
        <v>36363.699999999997</v>
      </c>
    </row>
    <row r="45" spans="1:8" x14ac:dyDescent="0.2">
      <c r="A45" s="5">
        <v>46171</v>
      </c>
      <c r="B45" s="2" t="s">
        <v>30</v>
      </c>
      <c r="C45" s="2" t="s">
        <v>17</v>
      </c>
      <c r="D45" s="2" t="s">
        <v>28</v>
      </c>
      <c r="E45" s="2">
        <v>1</v>
      </c>
      <c r="F45" s="6">
        <v>50051.57</v>
      </c>
      <c r="G45" s="6">
        <v>50051.57</v>
      </c>
      <c r="H45" s="6">
        <v>47956.57</v>
      </c>
    </row>
    <row r="46" spans="1:8" x14ac:dyDescent="0.2">
      <c r="A46" s="5">
        <v>46158</v>
      </c>
      <c r="B46" s="2" t="s">
        <v>24</v>
      </c>
      <c r="C46" s="2" t="s">
        <v>20</v>
      </c>
      <c r="D46" s="2" t="s">
        <v>18</v>
      </c>
      <c r="E46" s="2">
        <v>9</v>
      </c>
      <c r="F46" s="6">
        <v>2290.06</v>
      </c>
      <c r="G46" s="6">
        <v>20610.54</v>
      </c>
      <c r="H46" s="6">
        <v>19268.09</v>
      </c>
    </row>
    <row r="47" spans="1:8" x14ac:dyDescent="0.2">
      <c r="A47" s="5">
        <v>46175</v>
      </c>
      <c r="B47" s="2" t="s">
        <v>16</v>
      </c>
      <c r="C47" s="2" t="s">
        <v>17</v>
      </c>
      <c r="D47" s="2" t="s">
        <v>23</v>
      </c>
      <c r="E47" s="2">
        <v>7</v>
      </c>
      <c r="F47" s="6">
        <v>25871.37</v>
      </c>
      <c r="G47" s="6">
        <v>181099.59</v>
      </c>
      <c r="H47" s="6">
        <v>179510.08</v>
      </c>
    </row>
    <row r="48" spans="1:8" x14ac:dyDescent="0.2">
      <c r="A48" s="5">
        <v>46086</v>
      </c>
      <c r="B48" s="2" t="s">
        <v>30</v>
      </c>
      <c r="C48" s="2" t="s">
        <v>17</v>
      </c>
      <c r="D48" s="2" t="s">
        <v>18</v>
      </c>
      <c r="E48" s="2">
        <v>7</v>
      </c>
      <c r="F48" s="6">
        <v>56731.1</v>
      </c>
      <c r="G48" s="6">
        <v>397117.7</v>
      </c>
      <c r="H48" s="6">
        <v>383305.21</v>
      </c>
    </row>
    <row r="49" spans="1:8" x14ac:dyDescent="0.2">
      <c r="A49" s="5">
        <v>46103</v>
      </c>
      <c r="B49" s="2" t="s">
        <v>27</v>
      </c>
      <c r="C49" s="2" t="s">
        <v>22</v>
      </c>
      <c r="D49" s="2" t="s">
        <v>23</v>
      </c>
      <c r="E49" s="2">
        <v>11</v>
      </c>
      <c r="F49" s="6">
        <v>8867.5300000000007</v>
      </c>
      <c r="G49" s="6">
        <v>97542.83</v>
      </c>
      <c r="H49" s="6">
        <v>91601.97</v>
      </c>
    </row>
    <row r="50" spans="1:8" x14ac:dyDescent="0.2">
      <c r="A50" s="5">
        <v>46124</v>
      </c>
      <c r="B50" s="2" t="s">
        <v>24</v>
      </c>
      <c r="C50" s="2" t="s">
        <v>20</v>
      </c>
      <c r="D50" s="2" t="s">
        <v>28</v>
      </c>
      <c r="E50" s="2">
        <v>8</v>
      </c>
      <c r="F50" s="6">
        <v>2408.09</v>
      </c>
      <c r="G50" s="6">
        <v>19264.72</v>
      </c>
      <c r="H50" s="6">
        <v>18882.3</v>
      </c>
    </row>
    <row r="51" spans="1:8" x14ac:dyDescent="0.2">
      <c r="A51" s="5">
        <v>46041</v>
      </c>
      <c r="B51" s="2" t="s">
        <v>30</v>
      </c>
      <c r="C51" s="2" t="s">
        <v>17</v>
      </c>
      <c r="D51" s="2" t="s">
        <v>25</v>
      </c>
      <c r="E51" s="2">
        <v>10</v>
      </c>
      <c r="F51" s="6">
        <v>60483</v>
      </c>
      <c r="G51" s="6">
        <v>604830</v>
      </c>
      <c r="H51" s="6">
        <v>604641.12</v>
      </c>
    </row>
    <row r="52" spans="1:8" x14ac:dyDescent="0.2">
      <c r="A52" s="5">
        <v>46041</v>
      </c>
      <c r="B52" s="2" t="s">
        <v>19</v>
      </c>
      <c r="C52" s="2" t="s">
        <v>20</v>
      </c>
      <c r="D52" s="2" t="s">
        <v>28</v>
      </c>
      <c r="E52" s="2">
        <v>3</v>
      </c>
      <c r="F52" s="6">
        <v>1955.97</v>
      </c>
      <c r="G52" s="6">
        <v>5867.91</v>
      </c>
      <c r="H52" s="6">
        <v>5811.98</v>
      </c>
    </row>
    <row r="53" spans="1:8" x14ac:dyDescent="0.2">
      <c r="A53" s="5">
        <v>46085</v>
      </c>
      <c r="B53" s="2" t="s">
        <v>26</v>
      </c>
      <c r="C53" s="2" t="s">
        <v>17</v>
      </c>
      <c r="D53" s="2" t="s">
        <v>28</v>
      </c>
      <c r="E53" s="2">
        <v>3</v>
      </c>
      <c r="F53" s="6">
        <v>11851.64</v>
      </c>
      <c r="G53" s="6">
        <v>35554.92</v>
      </c>
      <c r="H53" s="6">
        <v>34255.65</v>
      </c>
    </row>
    <row r="54" spans="1:8" x14ac:dyDescent="0.2">
      <c r="A54" s="5">
        <v>46100</v>
      </c>
      <c r="B54" s="2" t="s">
        <v>30</v>
      </c>
      <c r="C54" s="2" t="s">
        <v>17</v>
      </c>
      <c r="D54" s="2" t="s">
        <v>28</v>
      </c>
      <c r="E54" s="2">
        <v>11</v>
      </c>
      <c r="F54" s="6">
        <v>50639.45</v>
      </c>
      <c r="G54" s="6">
        <v>557033.94999999995</v>
      </c>
      <c r="H54" s="6">
        <v>551602.96</v>
      </c>
    </row>
    <row r="55" spans="1:8" x14ac:dyDescent="0.2">
      <c r="A55" s="5">
        <v>46090</v>
      </c>
      <c r="B55" s="2" t="s">
        <v>16</v>
      </c>
      <c r="C55" s="2" t="s">
        <v>17</v>
      </c>
      <c r="D55" s="2" t="s">
        <v>18</v>
      </c>
      <c r="E55" s="2">
        <v>12</v>
      </c>
      <c r="F55" s="6">
        <v>28298.05</v>
      </c>
      <c r="G55" s="6">
        <v>339576.6</v>
      </c>
      <c r="H55" s="6">
        <v>319809.12</v>
      </c>
    </row>
    <row r="56" spans="1:8" x14ac:dyDescent="0.2">
      <c r="A56" s="5">
        <v>46177</v>
      </c>
      <c r="B56" s="2" t="s">
        <v>19</v>
      </c>
      <c r="C56" s="2" t="s">
        <v>20</v>
      </c>
      <c r="D56" s="2" t="s">
        <v>28</v>
      </c>
      <c r="E56" s="2">
        <v>4</v>
      </c>
      <c r="F56" s="6">
        <v>1867.5</v>
      </c>
      <c r="G56" s="6">
        <v>7470</v>
      </c>
      <c r="H56" s="6">
        <v>7382.1</v>
      </c>
    </row>
    <row r="57" spans="1:8" x14ac:dyDescent="0.2">
      <c r="A57" s="5">
        <v>46152</v>
      </c>
      <c r="B57" s="2" t="s">
        <v>29</v>
      </c>
      <c r="C57" s="2" t="s">
        <v>17</v>
      </c>
      <c r="D57" s="2" t="s">
        <v>28</v>
      </c>
      <c r="E57" s="2">
        <v>1</v>
      </c>
      <c r="F57" s="6">
        <v>8725.3700000000008</v>
      </c>
      <c r="G57" s="6">
        <v>8725.3700000000008</v>
      </c>
      <c r="H57" s="6">
        <v>8323.01</v>
      </c>
    </row>
    <row r="58" spans="1:8" x14ac:dyDescent="0.2">
      <c r="A58" s="5">
        <v>46093</v>
      </c>
      <c r="B58" s="2" t="s">
        <v>30</v>
      </c>
      <c r="C58" s="2" t="s">
        <v>17</v>
      </c>
      <c r="D58" s="2" t="s">
        <v>18</v>
      </c>
      <c r="E58" s="2">
        <v>6</v>
      </c>
      <c r="F58" s="6">
        <v>57982.31</v>
      </c>
      <c r="G58" s="6">
        <v>347893.86</v>
      </c>
      <c r="H58" s="6">
        <v>337794.18</v>
      </c>
    </row>
    <row r="59" spans="1:8" x14ac:dyDescent="0.2">
      <c r="A59" s="5">
        <v>46090</v>
      </c>
      <c r="B59" s="2" t="s">
        <v>24</v>
      </c>
      <c r="C59" s="2" t="s">
        <v>20</v>
      </c>
      <c r="D59" s="2" t="s">
        <v>25</v>
      </c>
      <c r="E59" s="2">
        <v>9</v>
      </c>
      <c r="F59" s="6">
        <v>2602.83</v>
      </c>
      <c r="G59" s="6">
        <v>23425.47</v>
      </c>
      <c r="H59" s="6">
        <v>22602.59</v>
      </c>
    </row>
    <row r="60" spans="1:8" x14ac:dyDescent="0.2">
      <c r="A60" s="5">
        <v>46051</v>
      </c>
      <c r="B60" s="2" t="s">
        <v>16</v>
      </c>
      <c r="C60" s="2" t="s">
        <v>17</v>
      </c>
      <c r="D60" s="2" t="s">
        <v>23</v>
      </c>
      <c r="E60" s="2">
        <v>9</v>
      </c>
      <c r="F60" s="6">
        <v>25401.759999999998</v>
      </c>
      <c r="G60" s="6">
        <v>228615.84</v>
      </c>
      <c r="H60" s="6">
        <v>217079.26</v>
      </c>
    </row>
    <row r="61" spans="1:8" x14ac:dyDescent="0.2">
      <c r="A61" s="5">
        <v>46164</v>
      </c>
      <c r="B61" s="2" t="s">
        <v>24</v>
      </c>
      <c r="C61" s="2" t="s">
        <v>20</v>
      </c>
      <c r="D61" s="2" t="s">
        <v>25</v>
      </c>
      <c r="E61" s="2">
        <v>3</v>
      </c>
      <c r="F61" s="6">
        <v>2270.91</v>
      </c>
      <c r="G61" s="6">
        <v>6812.73</v>
      </c>
      <c r="H61" s="6">
        <v>6466.45</v>
      </c>
    </row>
    <row r="62" spans="1:8" x14ac:dyDescent="0.2">
      <c r="A62" s="5">
        <v>46226</v>
      </c>
      <c r="B62" s="2" t="s">
        <v>30</v>
      </c>
      <c r="C62" s="2" t="s">
        <v>17</v>
      </c>
      <c r="D62" s="2" t="s">
        <v>28</v>
      </c>
      <c r="E62" s="2">
        <v>4</v>
      </c>
      <c r="F62" s="6">
        <v>57002.73</v>
      </c>
      <c r="G62" s="6">
        <v>228010.92</v>
      </c>
      <c r="H62" s="6">
        <v>221935.49</v>
      </c>
    </row>
    <row r="63" spans="1:8" x14ac:dyDescent="0.2">
      <c r="A63" s="5">
        <v>46113</v>
      </c>
      <c r="B63" s="2" t="s">
        <v>21</v>
      </c>
      <c r="C63" s="2" t="s">
        <v>22</v>
      </c>
      <c r="D63" s="2" t="s">
        <v>23</v>
      </c>
      <c r="E63" s="2">
        <v>4</v>
      </c>
      <c r="F63" s="6">
        <v>7510.45</v>
      </c>
      <c r="G63" s="6">
        <v>30041.8</v>
      </c>
      <c r="H63" s="6">
        <v>29984.61</v>
      </c>
    </row>
    <row r="64" spans="1:8" x14ac:dyDescent="0.2">
      <c r="A64" s="5">
        <v>46230</v>
      </c>
      <c r="B64" s="2" t="s">
        <v>24</v>
      </c>
      <c r="C64" s="2" t="s">
        <v>20</v>
      </c>
      <c r="D64" s="2" t="s">
        <v>25</v>
      </c>
      <c r="E64" s="2">
        <v>1</v>
      </c>
      <c r="F64" s="6">
        <v>2339.6799999999998</v>
      </c>
      <c r="G64" s="6">
        <v>2339.6799999999998</v>
      </c>
      <c r="H64" s="6">
        <v>2325.5500000000002</v>
      </c>
    </row>
    <row r="65" spans="1:8" x14ac:dyDescent="0.2">
      <c r="A65" s="5">
        <v>46223</v>
      </c>
      <c r="B65" s="2" t="s">
        <v>21</v>
      </c>
      <c r="C65" s="2" t="s">
        <v>22</v>
      </c>
      <c r="D65" s="2" t="s">
        <v>23</v>
      </c>
      <c r="E65" s="2">
        <v>5</v>
      </c>
      <c r="F65" s="6">
        <v>6522.88</v>
      </c>
      <c r="G65" s="6">
        <v>32614.400000000001</v>
      </c>
      <c r="H65" s="6">
        <v>31834.99</v>
      </c>
    </row>
    <row r="66" spans="1:8" x14ac:dyDescent="0.2">
      <c r="A66" s="5">
        <v>46120</v>
      </c>
      <c r="B66" s="2" t="s">
        <v>30</v>
      </c>
      <c r="C66" s="2" t="s">
        <v>17</v>
      </c>
      <c r="D66" s="2" t="s">
        <v>25</v>
      </c>
      <c r="E66" s="2">
        <v>4</v>
      </c>
      <c r="F66" s="6">
        <v>51695.3</v>
      </c>
      <c r="G66" s="6">
        <v>206781.2</v>
      </c>
      <c r="H66" s="6">
        <v>205432.19</v>
      </c>
    </row>
    <row r="67" spans="1:8" x14ac:dyDescent="0.2">
      <c r="A67" s="5">
        <v>46112</v>
      </c>
      <c r="B67" s="2" t="s">
        <v>27</v>
      </c>
      <c r="C67" s="2" t="s">
        <v>22</v>
      </c>
      <c r="D67" s="2" t="s">
        <v>23</v>
      </c>
      <c r="E67" s="2">
        <v>4</v>
      </c>
      <c r="F67" s="6">
        <v>7690.23</v>
      </c>
      <c r="G67" s="6">
        <v>30760.92</v>
      </c>
      <c r="H67" s="6">
        <v>28775.31</v>
      </c>
    </row>
    <row r="68" spans="1:8" x14ac:dyDescent="0.2">
      <c r="A68" s="5">
        <v>46107</v>
      </c>
      <c r="B68" s="2" t="s">
        <v>27</v>
      </c>
      <c r="C68" s="2" t="s">
        <v>22</v>
      </c>
      <c r="D68" s="2" t="s">
        <v>18</v>
      </c>
      <c r="E68" s="2">
        <v>5</v>
      </c>
      <c r="F68" s="6">
        <v>8246.9500000000007</v>
      </c>
      <c r="G68" s="6">
        <v>41234.75</v>
      </c>
      <c r="H68" s="6">
        <v>39616.39</v>
      </c>
    </row>
    <row r="69" spans="1:8" x14ac:dyDescent="0.2">
      <c r="A69" s="5">
        <v>46196</v>
      </c>
      <c r="B69" s="2" t="s">
        <v>26</v>
      </c>
      <c r="C69" s="2" t="s">
        <v>17</v>
      </c>
      <c r="D69" s="2" t="s">
        <v>18</v>
      </c>
      <c r="E69" s="2">
        <v>2</v>
      </c>
      <c r="F69" s="6">
        <v>12904.89</v>
      </c>
      <c r="G69" s="6">
        <v>25809.78</v>
      </c>
      <c r="H69" s="6">
        <v>24284.35</v>
      </c>
    </row>
    <row r="70" spans="1:8" x14ac:dyDescent="0.2">
      <c r="A70" s="5">
        <v>46171</v>
      </c>
      <c r="B70" s="2" t="s">
        <v>27</v>
      </c>
      <c r="C70" s="2" t="s">
        <v>22</v>
      </c>
      <c r="D70" s="2" t="s">
        <v>18</v>
      </c>
      <c r="E70" s="2">
        <v>2</v>
      </c>
      <c r="F70" s="6">
        <v>8664.17</v>
      </c>
      <c r="G70" s="6">
        <v>17328.34</v>
      </c>
      <c r="H70" s="6">
        <v>16421.29</v>
      </c>
    </row>
    <row r="71" spans="1:8" x14ac:dyDescent="0.2">
      <c r="A71" s="5">
        <v>46224</v>
      </c>
      <c r="B71" s="2" t="s">
        <v>26</v>
      </c>
      <c r="C71" s="2" t="s">
        <v>17</v>
      </c>
      <c r="D71" s="2" t="s">
        <v>25</v>
      </c>
      <c r="E71" s="2">
        <v>10</v>
      </c>
      <c r="F71" s="6">
        <v>13162.17</v>
      </c>
      <c r="G71" s="6">
        <v>131621.70000000001</v>
      </c>
      <c r="H71" s="6">
        <v>122309.68</v>
      </c>
    </row>
    <row r="72" spans="1:8" x14ac:dyDescent="0.2">
      <c r="A72" s="5">
        <v>46170</v>
      </c>
      <c r="B72" s="2" t="s">
        <v>19</v>
      </c>
      <c r="C72" s="2" t="s">
        <v>20</v>
      </c>
      <c r="D72" s="2" t="s">
        <v>28</v>
      </c>
      <c r="E72" s="2">
        <v>1</v>
      </c>
      <c r="F72" s="6">
        <v>1875.16</v>
      </c>
      <c r="G72" s="6">
        <v>1875.16</v>
      </c>
      <c r="H72" s="6">
        <v>1725.4</v>
      </c>
    </row>
    <row r="73" spans="1:8" x14ac:dyDescent="0.2">
      <c r="A73" s="5">
        <v>46229</v>
      </c>
      <c r="B73" s="2" t="s">
        <v>19</v>
      </c>
      <c r="C73" s="2" t="s">
        <v>20</v>
      </c>
      <c r="D73" s="2" t="s">
        <v>28</v>
      </c>
      <c r="E73" s="2">
        <v>7</v>
      </c>
      <c r="F73" s="6">
        <v>1645.19</v>
      </c>
      <c r="G73" s="6">
        <v>11516.33</v>
      </c>
      <c r="H73" s="6">
        <v>11206.99</v>
      </c>
    </row>
    <row r="74" spans="1:8" x14ac:dyDescent="0.2">
      <c r="A74" s="5">
        <v>46107</v>
      </c>
      <c r="B74" s="2" t="s">
        <v>26</v>
      </c>
      <c r="C74" s="2" t="s">
        <v>17</v>
      </c>
      <c r="D74" s="2" t="s">
        <v>18</v>
      </c>
      <c r="E74" s="2">
        <v>12</v>
      </c>
      <c r="F74" s="6">
        <v>12960.11</v>
      </c>
      <c r="G74" s="6">
        <v>155521.32</v>
      </c>
      <c r="H74" s="6">
        <v>149389.07999999999</v>
      </c>
    </row>
    <row r="75" spans="1:8" x14ac:dyDescent="0.2">
      <c r="A75" s="5">
        <v>46193</v>
      </c>
      <c r="B75" s="2" t="s">
        <v>21</v>
      </c>
      <c r="C75" s="2" t="s">
        <v>22</v>
      </c>
      <c r="D75" s="2" t="s">
        <v>28</v>
      </c>
      <c r="E75" s="2">
        <v>7</v>
      </c>
      <c r="F75" s="6">
        <v>7276.09</v>
      </c>
      <c r="G75" s="6">
        <v>50932.63</v>
      </c>
      <c r="H75" s="6">
        <v>49117.03</v>
      </c>
    </row>
    <row r="76" spans="1:8" x14ac:dyDescent="0.2">
      <c r="A76" s="5">
        <v>46072</v>
      </c>
      <c r="B76" s="2" t="s">
        <v>21</v>
      </c>
      <c r="C76" s="2" t="s">
        <v>22</v>
      </c>
      <c r="D76" s="2" t="s">
        <v>25</v>
      </c>
      <c r="E76" s="2">
        <v>11</v>
      </c>
      <c r="F76" s="6">
        <v>7347.39</v>
      </c>
      <c r="G76" s="6">
        <v>80821.289999999994</v>
      </c>
      <c r="H76" s="6">
        <v>75480.800000000003</v>
      </c>
    </row>
    <row r="77" spans="1:8" x14ac:dyDescent="0.2">
      <c r="A77" s="5">
        <v>46168</v>
      </c>
      <c r="B77" s="2" t="s">
        <v>27</v>
      </c>
      <c r="C77" s="2" t="s">
        <v>22</v>
      </c>
      <c r="D77" s="2" t="s">
        <v>25</v>
      </c>
      <c r="E77" s="2">
        <v>9</v>
      </c>
      <c r="F77" s="6">
        <v>9067.33</v>
      </c>
      <c r="G77" s="6">
        <v>81605.97</v>
      </c>
      <c r="H77" s="6">
        <v>77061.33</v>
      </c>
    </row>
    <row r="78" spans="1:8" x14ac:dyDescent="0.2">
      <c r="A78" s="5">
        <v>46076</v>
      </c>
      <c r="B78" s="2" t="s">
        <v>21</v>
      </c>
      <c r="C78" s="2" t="s">
        <v>22</v>
      </c>
      <c r="D78" s="2" t="s">
        <v>28</v>
      </c>
      <c r="E78" s="2">
        <v>8</v>
      </c>
      <c r="F78" s="6">
        <v>6918.5</v>
      </c>
      <c r="G78" s="6">
        <v>55348</v>
      </c>
      <c r="H78" s="6">
        <v>53911.73</v>
      </c>
    </row>
    <row r="79" spans="1:8" x14ac:dyDescent="0.2">
      <c r="A79" s="5">
        <v>46153</v>
      </c>
      <c r="B79" s="2" t="s">
        <v>29</v>
      </c>
      <c r="C79" s="2" t="s">
        <v>17</v>
      </c>
      <c r="D79" s="2" t="s">
        <v>23</v>
      </c>
      <c r="E79" s="2">
        <v>11</v>
      </c>
      <c r="F79" s="6">
        <v>8711.11</v>
      </c>
      <c r="G79" s="6">
        <v>95822.21</v>
      </c>
      <c r="H79" s="6">
        <v>92107.77</v>
      </c>
    </row>
    <row r="80" spans="1:8" x14ac:dyDescent="0.2">
      <c r="A80" s="5">
        <v>46185</v>
      </c>
      <c r="B80" s="2" t="s">
        <v>26</v>
      </c>
      <c r="C80" s="2" t="s">
        <v>17</v>
      </c>
      <c r="D80" s="2" t="s">
        <v>18</v>
      </c>
      <c r="E80" s="2">
        <v>4</v>
      </c>
      <c r="F80" s="6">
        <v>12414.71</v>
      </c>
      <c r="G80" s="6">
        <v>49658.84</v>
      </c>
      <c r="H80" s="6">
        <v>46578.559999999998</v>
      </c>
    </row>
    <row r="81" spans="1:8" x14ac:dyDescent="0.2">
      <c r="A81" s="5">
        <v>46073</v>
      </c>
      <c r="B81" s="2" t="s">
        <v>24</v>
      </c>
      <c r="C81" s="2" t="s">
        <v>20</v>
      </c>
      <c r="D81" s="2" t="s">
        <v>18</v>
      </c>
      <c r="E81" s="2">
        <v>1</v>
      </c>
      <c r="F81" s="6">
        <v>2372.42</v>
      </c>
      <c r="G81" s="6">
        <v>2372.42</v>
      </c>
      <c r="H81" s="6">
        <v>2272.8000000000002</v>
      </c>
    </row>
    <row r="82" spans="1:8" x14ac:dyDescent="0.2">
      <c r="A82" s="5">
        <v>46219</v>
      </c>
      <c r="B82" s="2" t="s">
        <v>16</v>
      </c>
      <c r="C82" s="2" t="s">
        <v>17</v>
      </c>
      <c r="D82" s="2" t="s">
        <v>25</v>
      </c>
      <c r="E82" s="2">
        <v>7</v>
      </c>
      <c r="F82" s="6">
        <v>30162.37</v>
      </c>
      <c r="G82" s="6">
        <v>211136.59</v>
      </c>
      <c r="H82" s="6">
        <v>203969.28</v>
      </c>
    </row>
    <row r="83" spans="1:8" x14ac:dyDescent="0.2">
      <c r="A83" s="5">
        <v>46206</v>
      </c>
      <c r="B83" s="2" t="s">
        <v>21</v>
      </c>
      <c r="C83" s="2" t="s">
        <v>22</v>
      </c>
      <c r="D83" s="2" t="s">
        <v>25</v>
      </c>
      <c r="E83" s="2">
        <v>7</v>
      </c>
      <c r="F83" s="6">
        <v>6641.58</v>
      </c>
      <c r="G83" s="6">
        <v>46491.06</v>
      </c>
      <c r="H83" s="6">
        <v>45211.839999999997</v>
      </c>
    </row>
    <row r="84" spans="1:8" x14ac:dyDescent="0.2">
      <c r="A84" s="5">
        <v>46024</v>
      </c>
      <c r="B84" s="2" t="s">
        <v>16</v>
      </c>
      <c r="C84" s="2" t="s">
        <v>17</v>
      </c>
      <c r="D84" s="2" t="s">
        <v>25</v>
      </c>
      <c r="E84" s="2">
        <v>4</v>
      </c>
      <c r="F84" s="6">
        <v>26184.97</v>
      </c>
      <c r="G84" s="6">
        <v>104739.88</v>
      </c>
      <c r="H84" s="6">
        <v>104387.67</v>
      </c>
    </row>
    <row r="85" spans="1:8" x14ac:dyDescent="0.2">
      <c r="A85" s="5">
        <v>46155</v>
      </c>
      <c r="B85" s="2" t="s">
        <v>29</v>
      </c>
      <c r="C85" s="2" t="s">
        <v>17</v>
      </c>
      <c r="D85" s="2" t="s">
        <v>18</v>
      </c>
      <c r="E85" s="2">
        <v>9</v>
      </c>
      <c r="F85" s="6">
        <v>9023.48</v>
      </c>
      <c r="G85" s="6">
        <v>81211.320000000007</v>
      </c>
      <c r="H85" s="6">
        <v>80225.98</v>
      </c>
    </row>
    <row r="86" spans="1:8" x14ac:dyDescent="0.2">
      <c r="A86" s="5">
        <v>46139</v>
      </c>
      <c r="B86" s="2" t="s">
        <v>24</v>
      </c>
      <c r="C86" s="2" t="s">
        <v>20</v>
      </c>
      <c r="D86" s="2" t="s">
        <v>25</v>
      </c>
      <c r="E86" s="2">
        <v>11</v>
      </c>
      <c r="F86" s="6">
        <v>2515.5700000000002</v>
      </c>
      <c r="G86" s="6">
        <v>27671.27</v>
      </c>
      <c r="H86" s="6">
        <v>26694.86</v>
      </c>
    </row>
    <row r="87" spans="1:8" x14ac:dyDescent="0.2">
      <c r="A87" s="5">
        <v>46104</v>
      </c>
      <c r="B87" s="2" t="s">
        <v>29</v>
      </c>
      <c r="C87" s="2" t="s">
        <v>17</v>
      </c>
      <c r="D87" s="2" t="s">
        <v>25</v>
      </c>
      <c r="E87" s="2">
        <v>9</v>
      </c>
      <c r="F87" s="6">
        <v>9397.24</v>
      </c>
      <c r="G87" s="6">
        <v>84575.16</v>
      </c>
      <c r="H87" s="6">
        <v>78886.009999999995</v>
      </c>
    </row>
    <row r="88" spans="1:8" x14ac:dyDescent="0.2">
      <c r="A88" s="5">
        <v>46144</v>
      </c>
      <c r="B88" s="2" t="s">
        <v>29</v>
      </c>
      <c r="C88" s="2" t="s">
        <v>17</v>
      </c>
      <c r="D88" s="2" t="s">
        <v>28</v>
      </c>
      <c r="E88" s="2">
        <v>4</v>
      </c>
      <c r="F88" s="6">
        <v>10145.74</v>
      </c>
      <c r="G88" s="6">
        <v>40582.959999999999</v>
      </c>
      <c r="H88" s="6">
        <v>38236.65</v>
      </c>
    </row>
    <row r="89" spans="1:8" x14ac:dyDescent="0.2">
      <c r="A89" s="5">
        <v>46222</v>
      </c>
      <c r="B89" s="2" t="s">
        <v>29</v>
      </c>
      <c r="C89" s="2" t="s">
        <v>17</v>
      </c>
      <c r="D89" s="2" t="s">
        <v>23</v>
      </c>
      <c r="E89" s="2">
        <v>5</v>
      </c>
      <c r="F89" s="6">
        <v>9385.76</v>
      </c>
      <c r="G89" s="6">
        <v>46928.800000000003</v>
      </c>
      <c r="H89" s="6">
        <v>45853.36</v>
      </c>
    </row>
    <row r="90" spans="1:8" x14ac:dyDescent="0.2">
      <c r="A90" s="5">
        <v>46083</v>
      </c>
      <c r="B90" s="2" t="s">
        <v>27</v>
      </c>
      <c r="C90" s="2" t="s">
        <v>22</v>
      </c>
      <c r="D90" s="2" t="s">
        <v>28</v>
      </c>
      <c r="E90" s="2">
        <v>6</v>
      </c>
      <c r="F90" s="6">
        <v>9168.15</v>
      </c>
      <c r="G90" s="6">
        <v>55008.9</v>
      </c>
      <c r="H90" s="6">
        <v>50962.79</v>
      </c>
    </row>
    <row r="91" spans="1:8" x14ac:dyDescent="0.2">
      <c r="A91" s="5">
        <v>46061</v>
      </c>
      <c r="B91" s="2" t="s">
        <v>19</v>
      </c>
      <c r="C91" s="2" t="s">
        <v>20</v>
      </c>
      <c r="D91" s="2" t="s">
        <v>25</v>
      </c>
      <c r="E91" s="2">
        <v>12</v>
      </c>
      <c r="F91" s="6">
        <v>1675.01</v>
      </c>
      <c r="G91" s="6">
        <v>20100.12</v>
      </c>
      <c r="H91" s="6">
        <v>18836.150000000001</v>
      </c>
    </row>
    <row r="92" spans="1:8" x14ac:dyDescent="0.2">
      <c r="A92" s="5">
        <v>46129</v>
      </c>
      <c r="B92" s="2" t="s">
        <v>21</v>
      </c>
      <c r="C92" s="2" t="s">
        <v>22</v>
      </c>
      <c r="D92" s="2" t="s">
        <v>28</v>
      </c>
      <c r="E92" s="2">
        <v>9</v>
      </c>
      <c r="F92" s="6">
        <v>6952.29</v>
      </c>
      <c r="G92" s="6">
        <v>62570.61</v>
      </c>
      <c r="H92" s="6">
        <v>57876.639999999999</v>
      </c>
    </row>
    <row r="93" spans="1:8" x14ac:dyDescent="0.2">
      <c r="A93" s="5">
        <v>46130</v>
      </c>
      <c r="B93" s="2" t="s">
        <v>21</v>
      </c>
      <c r="C93" s="2" t="s">
        <v>22</v>
      </c>
      <c r="D93" s="2" t="s">
        <v>18</v>
      </c>
      <c r="E93" s="2">
        <v>10</v>
      </c>
      <c r="F93" s="6">
        <v>6832.53</v>
      </c>
      <c r="G93" s="6">
        <v>68325.3</v>
      </c>
      <c r="H93" s="6">
        <v>62891.5</v>
      </c>
    </row>
    <row r="94" spans="1:8" x14ac:dyDescent="0.2">
      <c r="A94" s="5">
        <v>46113</v>
      </c>
      <c r="B94" s="2" t="s">
        <v>27</v>
      </c>
      <c r="C94" s="2" t="s">
        <v>22</v>
      </c>
      <c r="D94" s="2" t="s">
        <v>25</v>
      </c>
      <c r="E94" s="2">
        <v>7</v>
      </c>
      <c r="F94" s="6">
        <v>8564.9699999999993</v>
      </c>
      <c r="G94" s="6">
        <v>59954.79</v>
      </c>
      <c r="H94" s="6">
        <v>58681.99</v>
      </c>
    </row>
    <row r="95" spans="1:8" x14ac:dyDescent="0.2">
      <c r="A95" s="5">
        <v>46227</v>
      </c>
      <c r="B95" s="2" t="s">
        <v>19</v>
      </c>
      <c r="C95" s="2" t="s">
        <v>20</v>
      </c>
      <c r="D95" s="2" t="s">
        <v>25</v>
      </c>
      <c r="E95" s="2">
        <v>4</v>
      </c>
      <c r="F95" s="6">
        <v>1718.26</v>
      </c>
      <c r="G95" s="6">
        <v>6873.04</v>
      </c>
      <c r="H95" s="6">
        <v>6590.22</v>
      </c>
    </row>
    <row r="96" spans="1:8" x14ac:dyDescent="0.2">
      <c r="A96" s="5">
        <v>46122</v>
      </c>
      <c r="B96" s="2" t="s">
        <v>26</v>
      </c>
      <c r="C96" s="2" t="s">
        <v>17</v>
      </c>
      <c r="D96" s="2" t="s">
        <v>25</v>
      </c>
      <c r="E96" s="2">
        <v>12</v>
      </c>
      <c r="F96" s="6">
        <v>11196.11</v>
      </c>
      <c r="G96" s="6">
        <v>134353.32</v>
      </c>
      <c r="H96" s="6">
        <v>128628.69</v>
      </c>
    </row>
    <row r="97" spans="1:8" x14ac:dyDescent="0.2">
      <c r="A97" s="5">
        <v>46055</v>
      </c>
      <c r="B97" s="2" t="s">
        <v>30</v>
      </c>
      <c r="C97" s="2" t="s">
        <v>17</v>
      </c>
      <c r="D97" s="2" t="s">
        <v>25</v>
      </c>
      <c r="E97" s="2">
        <v>10</v>
      </c>
      <c r="F97" s="6">
        <v>55708.31</v>
      </c>
      <c r="G97" s="6">
        <v>557083.1</v>
      </c>
      <c r="H97" s="6">
        <v>513724.3</v>
      </c>
    </row>
    <row r="98" spans="1:8" x14ac:dyDescent="0.2">
      <c r="A98" s="5">
        <v>46187</v>
      </c>
      <c r="B98" s="2" t="s">
        <v>21</v>
      </c>
      <c r="C98" s="2" t="s">
        <v>22</v>
      </c>
      <c r="D98" s="2" t="s">
        <v>23</v>
      </c>
      <c r="E98" s="2">
        <v>8</v>
      </c>
      <c r="F98" s="6">
        <v>6554.42</v>
      </c>
      <c r="G98" s="6">
        <v>52435.360000000001</v>
      </c>
      <c r="H98" s="6">
        <v>49331.839999999997</v>
      </c>
    </row>
    <row r="99" spans="1:8" x14ac:dyDescent="0.2">
      <c r="A99" s="5">
        <v>46106</v>
      </c>
      <c r="B99" s="2" t="s">
        <v>19</v>
      </c>
      <c r="C99" s="2" t="s">
        <v>20</v>
      </c>
      <c r="D99" s="2" t="s">
        <v>25</v>
      </c>
      <c r="E99" s="2">
        <v>6</v>
      </c>
      <c r="F99" s="6">
        <v>1741.5</v>
      </c>
      <c r="G99" s="6">
        <v>10449</v>
      </c>
      <c r="H99" s="6">
        <v>10348.39</v>
      </c>
    </row>
    <row r="100" spans="1:8" x14ac:dyDescent="0.2">
      <c r="A100" s="5">
        <v>46094</v>
      </c>
      <c r="B100" s="2" t="s">
        <v>21</v>
      </c>
      <c r="C100" s="2" t="s">
        <v>22</v>
      </c>
      <c r="D100" s="2" t="s">
        <v>28</v>
      </c>
      <c r="E100" s="2">
        <v>2</v>
      </c>
      <c r="F100" s="6">
        <v>6958.43</v>
      </c>
      <c r="G100" s="6">
        <v>13916.86</v>
      </c>
      <c r="H100" s="6">
        <v>13637.44</v>
      </c>
    </row>
    <row r="101" spans="1:8" x14ac:dyDescent="0.2">
      <c r="A101" s="5">
        <v>46036</v>
      </c>
      <c r="B101" s="2" t="s">
        <v>26</v>
      </c>
      <c r="C101" s="2" t="s">
        <v>17</v>
      </c>
      <c r="D101" s="2" t="s">
        <v>23</v>
      </c>
      <c r="E101" s="2">
        <v>11</v>
      </c>
      <c r="F101" s="6">
        <v>10964.68</v>
      </c>
      <c r="G101" s="6">
        <v>120611.48</v>
      </c>
      <c r="H101" s="6">
        <v>120199.33</v>
      </c>
    </row>
    <row r="102" spans="1:8" x14ac:dyDescent="0.2">
      <c r="A102" s="5">
        <v>46033</v>
      </c>
      <c r="B102" s="2" t="s">
        <v>30</v>
      </c>
      <c r="C102" s="2" t="s">
        <v>17</v>
      </c>
      <c r="D102" s="2" t="s">
        <v>23</v>
      </c>
      <c r="E102" s="2">
        <v>4</v>
      </c>
      <c r="F102" s="6">
        <v>58731.519999999997</v>
      </c>
      <c r="G102" s="6">
        <v>234926.07999999999</v>
      </c>
      <c r="H102" s="6">
        <v>227809.43</v>
      </c>
    </row>
    <row r="103" spans="1:8" x14ac:dyDescent="0.2">
      <c r="A103" s="5">
        <v>46084</v>
      </c>
      <c r="B103" s="2" t="s">
        <v>24</v>
      </c>
      <c r="C103" s="2" t="s">
        <v>20</v>
      </c>
      <c r="D103" s="2" t="s">
        <v>25</v>
      </c>
      <c r="E103" s="2">
        <v>11</v>
      </c>
      <c r="F103" s="6">
        <v>2307.19</v>
      </c>
      <c r="G103" s="6">
        <v>25379.09</v>
      </c>
      <c r="H103" s="6">
        <v>25273.02</v>
      </c>
    </row>
    <row r="104" spans="1:8" x14ac:dyDescent="0.2">
      <c r="A104" s="5">
        <v>46142</v>
      </c>
      <c r="B104" s="2" t="s">
        <v>27</v>
      </c>
      <c r="C104" s="2" t="s">
        <v>22</v>
      </c>
      <c r="D104" s="2" t="s">
        <v>28</v>
      </c>
      <c r="E104" s="2">
        <v>3</v>
      </c>
      <c r="F104" s="6">
        <v>8680.02</v>
      </c>
      <c r="G104" s="6">
        <v>26040.06</v>
      </c>
      <c r="H104" s="6">
        <v>25964.51</v>
      </c>
    </row>
    <row r="105" spans="1:8" x14ac:dyDescent="0.2">
      <c r="A105" s="5">
        <v>46206</v>
      </c>
      <c r="B105" s="2" t="s">
        <v>16</v>
      </c>
      <c r="C105" s="2" t="s">
        <v>17</v>
      </c>
      <c r="D105" s="2" t="s">
        <v>23</v>
      </c>
      <c r="E105" s="2">
        <v>5</v>
      </c>
      <c r="F105" s="6">
        <v>25805.35</v>
      </c>
      <c r="G105" s="6">
        <v>129026.75</v>
      </c>
      <c r="H105" s="6">
        <v>118969.67</v>
      </c>
    </row>
    <row r="106" spans="1:8" x14ac:dyDescent="0.2">
      <c r="A106" s="5">
        <v>46102</v>
      </c>
      <c r="B106" s="2" t="s">
        <v>21</v>
      </c>
      <c r="C106" s="2" t="s">
        <v>22</v>
      </c>
      <c r="D106" s="2" t="s">
        <v>25</v>
      </c>
      <c r="E106" s="2">
        <v>12</v>
      </c>
      <c r="F106" s="6">
        <v>6577.66</v>
      </c>
      <c r="G106" s="6">
        <v>78931.92</v>
      </c>
      <c r="H106" s="6">
        <v>76356.2</v>
      </c>
    </row>
    <row r="107" spans="1:8" x14ac:dyDescent="0.2">
      <c r="A107" s="5">
        <v>46235</v>
      </c>
      <c r="B107" s="2" t="s">
        <v>19</v>
      </c>
      <c r="C107" s="2" t="s">
        <v>20</v>
      </c>
      <c r="D107" s="2" t="s">
        <v>18</v>
      </c>
      <c r="E107" s="2">
        <v>12</v>
      </c>
      <c r="F107" s="6">
        <v>1898.09</v>
      </c>
      <c r="G107" s="6">
        <v>22777.08</v>
      </c>
      <c r="H107" s="6">
        <v>22504.29</v>
      </c>
    </row>
    <row r="108" spans="1:8" x14ac:dyDescent="0.2">
      <c r="A108" s="5">
        <v>46176</v>
      </c>
      <c r="B108" s="2" t="s">
        <v>16</v>
      </c>
      <c r="C108" s="2" t="s">
        <v>17</v>
      </c>
      <c r="D108" s="2" t="s">
        <v>18</v>
      </c>
      <c r="E108" s="2">
        <v>6</v>
      </c>
      <c r="F108" s="6">
        <v>28183.37</v>
      </c>
      <c r="G108" s="6">
        <v>169100.22</v>
      </c>
      <c r="H108" s="6">
        <v>164521.26999999999</v>
      </c>
    </row>
    <row r="109" spans="1:8" x14ac:dyDescent="0.2">
      <c r="A109" s="5">
        <v>46040</v>
      </c>
      <c r="B109" s="2" t="s">
        <v>26</v>
      </c>
      <c r="C109" s="2" t="s">
        <v>17</v>
      </c>
      <c r="D109" s="2" t="s">
        <v>18</v>
      </c>
      <c r="E109" s="2">
        <v>7</v>
      </c>
      <c r="F109" s="6">
        <v>12773.59</v>
      </c>
      <c r="G109" s="6">
        <v>89415.13</v>
      </c>
      <c r="H109" s="6">
        <v>83016.86</v>
      </c>
    </row>
    <row r="110" spans="1:8" x14ac:dyDescent="0.2">
      <c r="A110" s="5">
        <v>46115</v>
      </c>
      <c r="B110" s="2" t="s">
        <v>29</v>
      </c>
      <c r="C110" s="2" t="s">
        <v>17</v>
      </c>
      <c r="D110" s="2" t="s">
        <v>23</v>
      </c>
      <c r="E110" s="2">
        <v>7</v>
      </c>
      <c r="F110" s="6">
        <v>8884.66</v>
      </c>
      <c r="G110" s="6">
        <v>62192.62</v>
      </c>
      <c r="H110" s="6">
        <v>59813.11</v>
      </c>
    </row>
    <row r="111" spans="1:8" x14ac:dyDescent="0.2">
      <c r="A111" s="5">
        <v>46189</v>
      </c>
      <c r="B111" s="2" t="s">
        <v>27</v>
      </c>
      <c r="C111" s="2" t="s">
        <v>22</v>
      </c>
      <c r="D111" s="2" t="s">
        <v>25</v>
      </c>
      <c r="E111" s="2">
        <v>8</v>
      </c>
      <c r="F111" s="6">
        <v>8390.48</v>
      </c>
      <c r="G111" s="6">
        <v>67123.839999999997</v>
      </c>
      <c r="H111" s="6">
        <v>65679.48</v>
      </c>
    </row>
    <row r="112" spans="1:8" x14ac:dyDescent="0.2">
      <c r="A112" s="5">
        <v>46091</v>
      </c>
      <c r="B112" s="2" t="s">
        <v>26</v>
      </c>
      <c r="C112" s="2" t="s">
        <v>17</v>
      </c>
      <c r="D112" s="2" t="s">
        <v>23</v>
      </c>
      <c r="E112" s="2">
        <v>2</v>
      </c>
      <c r="F112" s="6">
        <v>11469.43</v>
      </c>
      <c r="G112" s="6">
        <v>22938.86</v>
      </c>
      <c r="H112" s="6">
        <v>21931.02</v>
      </c>
    </row>
    <row r="113" spans="1:8" x14ac:dyDescent="0.2">
      <c r="A113" s="5">
        <v>46215</v>
      </c>
      <c r="B113" s="2" t="s">
        <v>29</v>
      </c>
      <c r="C113" s="2" t="s">
        <v>17</v>
      </c>
      <c r="D113" s="2" t="s">
        <v>25</v>
      </c>
      <c r="E113" s="2">
        <v>6</v>
      </c>
      <c r="F113" s="6">
        <v>8604.5300000000007</v>
      </c>
      <c r="G113" s="6">
        <v>51627.18</v>
      </c>
      <c r="H113" s="6">
        <v>51011.59</v>
      </c>
    </row>
    <row r="114" spans="1:8" x14ac:dyDescent="0.2">
      <c r="A114" s="5">
        <v>46069</v>
      </c>
      <c r="B114" s="2" t="s">
        <v>29</v>
      </c>
      <c r="C114" s="2" t="s">
        <v>17</v>
      </c>
      <c r="D114" s="2" t="s">
        <v>23</v>
      </c>
      <c r="E114" s="2">
        <v>6</v>
      </c>
      <c r="F114" s="6">
        <v>10065.879999999999</v>
      </c>
      <c r="G114" s="6">
        <v>60395.28</v>
      </c>
      <c r="H114" s="6">
        <v>57208.05</v>
      </c>
    </row>
    <row r="115" spans="1:8" x14ac:dyDescent="0.2">
      <c r="A115" s="5">
        <v>46175</v>
      </c>
      <c r="B115" s="2" t="s">
        <v>27</v>
      </c>
      <c r="C115" s="2" t="s">
        <v>22</v>
      </c>
      <c r="D115" s="2" t="s">
        <v>18</v>
      </c>
      <c r="E115" s="2">
        <v>9</v>
      </c>
      <c r="F115" s="6">
        <v>9261.7099999999991</v>
      </c>
      <c r="G115" s="6">
        <v>83355.39</v>
      </c>
      <c r="H115" s="6">
        <v>77257.86</v>
      </c>
    </row>
    <row r="116" spans="1:8" x14ac:dyDescent="0.2">
      <c r="A116" s="5">
        <v>46207</v>
      </c>
      <c r="B116" s="2" t="s">
        <v>21</v>
      </c>
      <c r="C116" s="2" t="s">
        <v>22</v>
      </c>
      <c r="D116" s="2" t="s">
        <v>25</v>
      </c>
      <c r="E116" s="2">
        <v>9</v>
      </c>
      <c r="F116" s="6">
        <v>7361.43</v>
      </c>
      <c r="G116" s="6">
        <v>66252.87</v>
      </c>
      <c r="H116" s="6">
        <v>64613.03</v>
      </c>
    </row>
    <row r="117" spans="1:8" x14ac:dyDescent="0.2">
      <c r="A117" s="5">
        <v>46188</v>
      </c>
      <c r="B117" s="2" t="s">
        <v>29</v>
      </c>
      <c r="C117" s="2" t="s">
        <v>17</v>
      </c>
      <c r="D117" s="2" t="s">
        <v>25</v>
      </c>
      <c r="E117" s="2">
        <v>1</v>
      </c>
      <c r="F117" s="6">
        <v>8726.7999999999993</v>
      </c>
      <c r="G117" s="6">
        <v>8726.7999999999993</v>
      </c>
      <c r="H117" s="6">
        <v>8183.36</v>
      </c>
    </row>
    <row r="118" spans="1:8" x14ac:dyDescent="0.2">
      <c r="A118" s="5">
        <v>46200</v>
      </c>
      <c r="B118" s="2" t="s">
        <v>19</v>
      </c>
      <c r="C118" s="2" t="s">
        <v>20</v>
      </c>
      <c r="D118" s="2" t="s">
        <v>28</v>
      </c>
      <c r="E118" s="2">
        <v>11</v>
      </c>
      <c r="F118" s="6">
        <v>1829.36</v>
      </c>
      <c r="G118" s="6">
        <v>20122.96</v>
      </c>
      <c r="H118" s="6">
        <v>19275</v>
      </c>
    </row>
    <row r="119" spans="1:8" x14ac:dyDescent="0.2">
      <c r="A119" s="5">
        <v>46158</v>
      </c>
      <c r="B119" s="2" t="s">
        <v>26</v>
      </c>
      <c r="C119" s="2" t="s">
        <v>17</v>
      </c>
      <c r="D119" s="2" t="s">
        <v>25</v>
      </c>
      <c r="E119" s="2">
        <v>12</v>
      </c>
      <c r="F119" s="6">
        <v>12120.93</v>
      </c>
      <c r="G119" s="6">
        <v>145451.16</v>
      </c>
      <c r="H119" s="6">
        <v>137908.76999999999</v>
      </c>
    </row>
    <row r="120" spans="1:8" x14ac:dyDescent="0.2">
      <c r="A120" s="5">
        <v>46139</v>
      </c>
      <c r="B120" s="2" t="s">
        <v>27</v>
      </c>
      <c r="C120" s="2" t="s">
        <v>22</v>
      </c>
      <c r="D120" s="2" t="s">
        <v>28</v>
      </c>
      <c r="E120" s="2">
        <v>5</v>
      </c>
      <c r="F120" s="6">
        <v>8041.91</v>
      </c>
      <c r="G120" s="6">
        <v>40209.550000000003</v>
      </c>
      <c r="H120" s="6">
        <v>39312.99</v>
      </c>
    </row>
    <row r="121" spans="1:8" x14ac:dyDescent="0.2">
      <c r="A121" s="5">
        <v>46103</v>
      </c>
      <c r="B121" s="2" t="s">
        <v>16</v>
      </c>
      <c r="C121" s="2" t="s">
        <v>17</v>
      </c>
      <c r="D121" s="2" t="s">
        <v>23</v>
      </c>
      <c r="E121" s="2">
        <v>4</v>
      </c>
      <c r="F121" s="6">
        <v>26411.75</v>
      </c>
      <c r="G121" s="6">
        <v>105647</v>
      </c>
      <c r="H121" s="6">
        <v>101287.57</v>
      </c>
    </row>
    <row r="122" spans="1:8" x14ac:dyDescent="0.2">
      <c r="A122" s="5">
        <v>46208</v>
      </c>
      <c r="B122" s="2" t="s">
        <v>27</v>
      </c>
      <c r="C122" s="2" t="s">
        <v>22</v>
      </c>
      <c r="D122" s="2" t="s">
        <v>18</v>
      </c>
      <c r="E122" s="2">
        <v>4</v>
      </c>
      <c r="F122" s="6">
        <v>8153.62</v>
      </c>
      <c r="G122" s="6">
        <v>32614.48</v>
      </c>
      <c r="H122" s="6">
        <v>30946.92</v>
      </c>
    </row>
    <row r="123" spans="1:8" x14ac:dyDescent="0.2">
      <c r="A123" s="5">
        <v>46100</v>
      </c>
      <c r="B123" s="2" t="s">
        <v>30</v>
      </c>
      <c r="C123" s="2" t="s">
        <v>17</v>
      </c>
      <c r="D123" s="2" t="s">
        <v>23</v>
      </c>
      <c r="E123" s="2">
        <v>5</v>
      </c>
      <c r="F123" s="6">
        <v>50000.67</v>
      </c>
      <c r="G123" s="6">
        <v>250003.35</v>
      </c>
      <c r="H123" s="6">
        <v>231093.62</v>
      </c>
    </row>
    <row r="124" spans="1:8" x14ac:dyDescent="0.2">
      <c r="A124" s="5">
        <v>46097</v>
      </c>
      <c r="B124" s="2" t="s">
        <v>24</v>
      </c>
      <c r="C124" s="2" t="s">
        <v>20</v>
      </c>
      <c r="D124" s="2" t="s">
        <v>25</v>
      </c>
      <c r="E124" s="2">
        <v>2</v>
      </c>
      <c r="F124" s="6">
        <v>2686.36</v>
      </c>
      <c r="G124" s="6">
        <v>5372.72</v>
      </c>
      <c r="H124" s="6">
        <v>5189.6499999999996</v>
      </c>
    </row>
    <row r="125" spans="1:8" x14ac:dyDescent="0.2">
      <c r="A125" s="5">
        <v>46143</v>
      </c>
      <c r="B125" s="2" t="s">
        <v>29</v>
      </c>
      <c r="C125" s="2" t="s">
        <v>17</v>
      </c>
      <c r="D125" s="2" t="s">
        <v>25</v>
      </c>
      <c r="E125" s="2">
        <v>6</v>
      </c>
      <c r="F125" s="6">
        <v>8900.2900000000009</v>
      </c>
      <c r="G125" s="6">
        <v>53401.74</v>
      </c>
      <c r="H125" s="6">
        <v>49349.09</v>
      </c>
    </row>
    <row r="126" spans="1:8" x14ac:dyDescent="0.2">
      <c r="A126" s="5">
        <v>46145</v>
      </c>
      <c r="B126" s="2" t="s">
        <v>16</v>
      </c>
      <c r="C126" s="2" t="s">
        <v>17</v>
      </c>
      <c r="D126" s="2" t="s">
        <v>18</v>
      </c>
      <c r="E126" s="2">
        <v>7</v>
      </c>
      <c r="F126" s="6">
        <v>27953.78</v>
      </c>
      <c r="G126" s="6">
        <v>195676.46</v>
      </c>
      <c r="H126" s="6">
        <v>189055.1</v>
      </c>
    </row>
    <row r="127" spans="1:8" x14ac:dyDescent="0.2">
      <c r="A127" s="5">
        <v>46198</v>
      </c>
      <c r="B127" s="2" t="s">
        <v>30</v>
      </c>
      <c r="C127" s="2" t="s">
        <v>17</v>
      </c>
      <c r="D127" s="2" t="s">
        <v>23</v>
      </c>
      <c r="E127" s="2">
        <v>3</v>
      </c>
      <c r="F127" s="6">
        <v>58422.559999999998</v>
      </c>
      <c r="G127" s="6">
        <v>175267.68</v>
      </c>
      <c r="H127" s="6">
        <v>174554.35</v>
      </c>
    </row>
    <row r="128" spans="1:8" x14ac:dyDescent="0.2">
      <c r="A128" s="5">
        <v>46044</v>
      </c>
      <c r="B128" s="2" t="s">
        <v>19</v>
      </c>
      <c r="C128" s="2" t="s">
        <v>20</v>
      </c>
      <c r="D128" s="2" t="s">
        <v>18</v>
      </c>
      <c r="E128" s="2">
        <v>9</v>
      </c>
      <c r="F128" s="6">
        <v>1895.2</v>
      </c>
      <c r="G128" s="6">
        <v>17056.8</v>
      </c>
      <c r="H128" s="6">
        <v>16519.599999999999</v>
      </c>
    </row>
    <row r="129" spans="1:8" x14ac:dyDescent="0.2">
      <c r="A129" s="5">
        <v>46225</v>
      </c>
      <c r="B129" s="2" t="s">
        <v>19</v>
      </c>
      <c r="C129" s="2" t="s">
        <v>20</v>
      </c>
      <c r="D129" s="2" t="s">
        <v>25</v>
      </c>
      <c r="E129" s="2">
        <v>8</v>
      </c>
      <c r="F129" s="6">
        <v>1947.06</v>
      </c>
      <c r="G129" s="6">
        <v>15576.48</v>
      </c>
      <c r="H129" s="6">
        <v>14700.9</v>
      </c>
    </row>
    <row r="130" spans="1:8" x14ac:dyDescent="0.2">
      <c r="A130" s="5">
        <v>46173</v>
      </c>
      <c r="B130" s="2" t="s">
        <v>21</v>
      </c>
      <c r="C130" s="2" t="s">
        <v>22</v>
      </c>
      <c r="D130" s="2" t="s">
        <v>28</v>
      </c>
      <c r="E130" s="2">
        <v>10</v>
      </c>
      <c r="F130" s="6">
        <v>7169.44</v>
      </c>
      <c r="G130" s="6">
        <v>71694.399999999994</v>
      </c>
      <c r="H130" s="6">
        <v>69455.42</v>
      </c>
    </row>
    <row r="131" spans="1:8" x14ac:dyDescent="0.2">
      <c r="A131" s="5">
        <v>46212</v>
      </c>
      <c r="B131" s="2" t="s">
        <v>16</v>
      </c>
      <c r="C131" s="2" t="s">
        <v>17</v>
      </c>
      <c r="D131" s="2" t="s">
        <v>23</v>
      </c>
      <c r="E131" s="2">
        <v>11</v>
      </c>
      <c r="F131" s="6">
        <v>26381.74</v>
      </c>
      <c r="G131" s="6">
        <v>290199.14</v>
      </c>
      <c r="H131" s="6">
        <v>282315.65999999997</v>
      </c>
    </row>
    <row r="132" spans="1:8" x14ac:dyDescent="0.2">
      <c r="A132" s="5">
        <v>46063</v>
      </c>
      <c r="B132" s="2" t="s">
        <v>19</v>
      </c>
      <c r="C132" s="2" t="s">
        <v>20</v>
      </c>
      <c r="D132" s="2" t="s">
        <v>23</v>
      </c>
      <c r="E132" s="2">
        <v>9</v>
      </c>
      <c r="F132" s="6">
        <v>1647.02</v>
      </c>
      <c r="G132" s="6">
        <v>14823.18</v>
      </c>
      <c r="H132" s="6">
        <v>13640.5</v>
      </c>
    </row>
    <row r="133" spans="1:8" x14ac:dyDescent="0.2">
      <c r="A133" s="5">
        <v>46138</v>
      </c>
      <c r="B133" s="2" t="s">
        <v>29</v>
      </c>
      <c r="C133" s="2" t="s">
        <v>17</v>
      </c>
      <c r="D133" s="2" t="s">
        <v>28</v>
      </c>
      <c r="E133" s="2">
        <v>1</v>
      </c>
      <c r="F133" s="6">
        <v>8989.7999999999993</v>
      </c>
      <c r="G133" s="6">
        <v>8989.7999999999993</v>
      </c>
      <c r="H133" s="6">
        <v>8779.0499999999993</v>
      </c>
    </row>
    <row r="134" spans="1:8" x14ac:dyDescent="0.2">
      <c r="A134" s="5">
        <v>46202</v>
      </c>
      <c r="B134" s="2" t="s">
        <v>29</v>
      </c>
      <c r="C134" s="2" t="s">
        <v>17</v>
      </c>
      <c r="D134" s="2" t="s">
        <v>18</v>
      </c>
      <c r="E134" s="2">
        <v>11</v>
      </c>
      <c r="F134" s="6">
        <v>8993.51</v>
      </c>
      <c r="G134" s="6">
        <v>98928.61</v>
      </c>
      <c r="H134" s="6">
        <v>93108.08</v>
      </c>
    </row>
    <row r="135" spans="1:8" x14ac:dyDescent="0.2">
      <c r="A135" s="5">
        <v>46225</v>
      </c>
      <c r="B135" s="2" t="s">
        <v>19</v>
      </c>
      <c r="C135" s="2" t="s">
        <v>20</v>
      </c>
      <c r="D135" s="2" t="s">
        <v>25</v>
      </c>
      <c r="E135" s="2">
        <v>2</v>
      </c>
      <c r="F135" s="6">
        <v>1816.04</v>
      </c>
      <c r="G135" s="6">
        <v>3632.08</v>
      </c>
      <c r="H135" s="6">
        <v>3529.69</v>
      </c>
    </row>
    <row r="136" spans="1:8" x14ac:dyDescent="0.2">
      <c r="A136" s="5">
        <v>46091</v>
      </c>
      <c r="B136" s="2" t="s">
        <v>24</v>
      </c>
      <c r="C136" s="2" t="s">
        <v>20</v>
      </c>
      <c r="D136" s="2" t="s">
        <v>18</v>
      </c>
      <c r="E136" s="2">
        <v>1</v>
      </c>
      <c r="F136" s="6">
        <v>2332.96</v>
      </c>
      <c r="G136" s="6">
        <v>2332.96</v>
      </c>
      <c r="H136" s="6">
        <v>2203.73</v>
      </c>
    </row>
    <row r="137" spans="1:8" x14ac:dyDescent="0.2">
      <c r="A137" s="5">
        <v>46214</v>
      </c>
      <c r="B137" s="2" t="s">
        <v>27</v>
      </c>
      <c r="C137" s="2" t="s">
        <v>22</v>
      </c>
      <c r="D137" s="2" t="s">
        <v>25</v>
      </c>
      <c r="E137" s="2">
        <v>2</v>
      </c>
      <c r="F137" s="6">
        <v>8446.7900000000009</v>
      </c>
      <c r="G137" s="6">
        <v>16893.580000000002</v>
      </c>
      <c r="H137" s="6">
        <v>15953.07</v>
      </c>
    </row>
    <row r="138" spans="1:8" x14ac:dyDescent="0.2">
      <c r="A138" s="5">
        <v>46126</v>
      </c>
      <c r="B138" s="2" t="s">
        <v>27</v>
      </c>
      <c r="C138" s="2" t="s">
        <v>22</v>
      </c>
      <c r="D138" s="2" t="s">
        <v>25</v>
      </c>
      <c r="E138" s="2">
        <v>8</v>
      </c>
      <c r="F138" s="6">
        <v>7786.75</v>
      </c>
      <c r="G138" s="6">
        <v>62294</v>
      </c>
      <c r="H138" s="6">
        <v>57509.13</v>
      </c>
    </row>
    <row r="139" spans="1:8" x14ac:dyDescent="0.2">
      <c r="A139" s="5">
        <v>46133</v>
      </c>
      <c r="B139" s="2" t="s">
        <v>26</v>
      </c>
      <c r="C139" s="2" t="s">
        <v>17</v>
      </c>
      <c r="D139" s="2" t="s">
        <v>28</v>
      </c>
      <c r="E139" s="2">
        <v>1</v>
      </c>
      <c r="F139" s="6">
        <v>11019.18</v>
      </c>
      <c r="G139" s="6">
        <v>11019.18</v>
      </c>
      <c r="H139" s="6">
        <v>10985.6</v>
      </c>
    </row>
    <row r="140" spans="1:8" x14ac:dyDescent="0.2">
      <c r="A140" s="5">
        <v>46170</v>
      </c>
      <c r="B140" s="2" t="s">
        <v>30</v>
      </c>
      <c r="C140" s="2" t="s">
        <v>17</v>
      </c>
      <c r="D140" s="2" t="s">
        <v>28</v>
      </c>
      <c r="E140" s="2">
        <v>10</v>
      </c>
      <c r="F140" s="6">
        <v>49942.55</v>
      </c>
      <c r="G140" s="6">
        <v>499425.5</v>
      </c>
      <c r="H140" s="6">
        <v>489687.46</v>
      </c>
    </row>
    <row r="141" spans="1:8" x14ac:dyDescent="0.2">
      <c r="A141" s="5">
        <v>46143</v>
      </c>
      <c r="B141" s="2" t="s">
        <v>29</v>
      </c>
      <c r="C141" s="2" t="s">
        <v>17</v>
      </c>
      <c r="D141" s="2" t="s">
        <v>28</v>
      </c>
      <c r="E141" s="2">
        <v>3</v>
      </c>
      <c r="F141" s="6">
        <v>10444.200000000001</v>
      </c>
      <c r="G141" s="6">
        <v>31332.6</v>
      </c>
      <c r="H141" s="6">
        <v>29918.58</v>
      </c>
    </row>
    <row r="142" spans="1:8" x14ac:dyDescent="0.2">
      <c r="A142" s="5">
        <v>46231</v>
      </c>
      <c r="B142" s="2" t="s">
        <v>29</v>
      </c>
      <c r="C142" s="2" t="s">
        <v>17</v>
      </c>
      <c r="D142" s="2" t="s">
        <v>18</v>
      </c>
      <c r="E142" s="2">
        <v>8</v>
      </c>
      <c r="F142" s="6">
        <v>9211.1299999999992</v>
      </c>
      <c r="G142" s="6">
        <v>73689.039999999994</v>
      </c>
      <c r="H142" s="6">
        <v>69758.81</v>
      </c>
    </row>
    <row r="143" spans="1:8" x14ac:dyDescent="0.2">
      <c r="A143" s="5">
        <v>46194</v>
      </c>
      <c r="B143" s="2" t="s">
        <v>16</v>
      </c>
      <c r="C143" s="2" t="s">
        <v>17</v>
      </c>
      <c r="D143" s="2" t="s">
        <v>23</v>
      </c>
      <c r="E143" s="2">
        <v>6</v>
      </c>
      <c r="F143" s="6">
        <v>27505.21</v>
      </c>
      <c r="G143" s="6">
        <v>165031.26</v>
      </c>
      <c r="H143" s="6">
        <v>158370.19</v>
      </c>
    </row>
    <row r="144" spans="1:8" x14ac:dyDescent="0.2">
      <c r="A144" s="5">
        <v>46192</v>
      </c>
      <c r="B144" s="2" t="s">
        <v>21</v>
      </c>
      <c r="C144" s="2" t="s">
        <v>22</v>
      </c>
      <c r="D144" s="2" t="s">
        <v>18</v>
      </c>
      <c r="E144" s="2">
        <v>8</v>
      </c>
      <c r="F144" s="6">
        <v>6423.28</v>
      </c>
      <c r="G144" s="6">
        <v>51386.239999999998</v>
      </c>
      <c r="H144" s="6">
        <v>48312.93</v>
      </c>
    </row>
    <row r="145" spans="1:8" x14ac:dyDescent="0.2">
      <c r="A145" s="5">
        <v>46052</v>
      </c>
      <c r="B145" s="2" t="s">
        <v>21</v>
      </c>
      <c r="C145" s="2" t="s">
        <v>22</v>
      </c>
      <c r="D145" s="2" t="s">
        <v>18</v>
      </c>
      <c r="E145" s="2">
        <v>11</v>
      </c>
      <c r="F145" s="6">
        <v>7517.11</v>
      </c>
      <c r="G145" s="6">
        <v>82688.210000000006</v>
      </c>
      <c r="H145" s="6">
        <v>79129.149999999994</v>
      </c>
    </row>
    <row r="146" spans="1:8" x14ac:dyDescent="0.2">
      <c r="A146" s="5">
        <v>46036</v>
      </c>
      <c r="B146" s="2" t="s">
        <v>19</v>
      </c>
      <c r="C146" s="2" t="s">
        <v>20</v>
      </c>
      <c r="D146" s="2" t="s">
        <v>28</v>
      </c>
      <c r="E146" s="2">
        <v>10</v>
      </c>
      <c r="F146" s="6">
        <v>1892.32</v>
      </c>
      <c r="G146" s="6">
        <v>18923.2</v>
      </c>
      <c r="H146" s="6">
        <v>18356.12</v>
      </c>
    </row>
    <row r="147" spans="1:8" x14ac:dyDescent="0.2">
      <c r="A147" s="5">
        <v>46217</v>
      </c>
      <c r="B147" s="2" t="s">
        <v>30</v>
      </c>
      <c r="C147" s="2" t="s">
        <v>17</v>
      </c>
      <c r="D147" s="2" t="s">
        <v>23</v>
      </c>
      <c r="E147" s="2">
        <v>5</v>
      </c>
      <c r="F147" s="6">
        <v>55541.42</v>
      </c>
      <c r="G147" s="6">
        <v>277707.09999999998</v>
      </c>
      <c r="H147" s="6">
        <v>276100.24</v>
      </c>
    </row>
    <row r="148" spans="1:8" x14ac:dyDescent="0.2">
      <c r="A148" s="5">
        <v>46135</v>
      </c>
      <c r="B148" s="2" t="s">
        <v>29</v>
      </c>
      <c r="C148" s="2" t="s">
        <v>17</v>
      </c>
      <c r="D148" s="2" t="s">
        <v>18</v>
      </c>
      <c r="E148" s="2">
        <v>1</v>
      </c>
      <c r="F148" s="6">
        <v>10398.98</v>
      </c>
      <c r="G148" s="6">
        <v>10398.98</v>
      </c>
      <c r="H148" s="6">
        <v>10073.59</v>
      </c>
    </row>
    <row r="149" spans="1:8" x14ac:dyDescent="0.2">
      <c r="A149" s="5">
        <v>46084</v>
      </c>
      <c r="B149" s="2" t="s">
        <v>24</v>
      </c>
      <c r="C149" s="2" t="s">
        <v>20</v>
      </c>
      <c r="D149" s="2" t="s">
        <v>28</v>
      </c>
      <c r="E149" s="2">
        <v>9</v>
      </c>
      <c r="F149" s="6">
        <v>2256.84</v>
      </c>
      <c r="G149" s="6">
        <v>20311.560000000001</v>
      </c>
      <c r="H149" s="6">
        <v>19349.59</v>
      </c>
    </row>
    <row r="150" spans="1:8" x14ac:dyDescent="0.2">
      <c r="A150" s="5">
        <v>46080</v>
      </c>
      <c r="B150" s="2" t="s">
        <v>16</v>
      </c>
      <c r="C150" s="2" t="s">
        <v>17</v>
      </c>
      <c r="D150" s="2" t="s">
        <v>25</v>
      </c>
      <c r="E150" s="2">
        <v>2</v>
      </c>
      <c r="F150" s="6">
        <v>28827.17</v>
      </c>
      <c r="G150" s="6">
        <v>57654.34</v>
      </c>
      <c r="H150" s="6">
        <v>53752.160000000003</v>
      </c>
    </row>
    <row r="151" spans="1:8" x14ac:dyDescent="0.2">
      <c r="A151" s="5">
        <v>46206</v>
      </c>
      <c r="B151" s="2" t="s">
        <v>27</v>
      </c>
      <c r="C151" s="2" t="s">
        <v>22</v>
      </c>
      <c r="D151" s="2" t="s">
        <v>28</v>
      </c>
      <c r="E151" s="2">
        <v>7</v>
      </c>
      <c r="F151" s="6">
        <v>9069.0300000000007</v>
      </c>
      <c r="G151" s="6">
        <v>63483.21</v>
      </c>
      <c r="H151" s="6">
        <v>63382.879999999997</v>
      </c>
    </row>
    <row r="152" spans="1:8" x14ac:dyDescent="0.2">
      <c r="A152" s="5">
        <v>46085</v>
      </c>
      <c r="B152" s="2" t="s">
        <v>29</v>
      </c>
      <c r="C152" s="2" t="s">
        <v>17</v>
      </c>
      <c r="D152" s="2" t="s">
        <v>23</v>
      </c>
      <c r="E152" s="2">
        <v>7</v>
      </c>
      <c r="F152" s="6">
        <v>8912.16</v>
      </c>
      <c r="G152" s="6">
        <v>62385.120000000003</v>
      </c>
      <c r="H152" s="6">
        <v>60385.69</v>
      </c>
    </row>
    <row r="153" spans="1:8" x14ac:dyDescent="0.2">
      <c r="A153" s="5">
        <v>46214</v>
      </c>
      <c r="B153" s="2" t="s">
        <v>24</v>
      </c>
      <c r="C153" s="2" t="s">
        <v>20</v>
      </c>
      <c r="D153" s="2" t="s">
        <v>18</v>
      </c>
      <c r="E153" s="2">
        <v>5</v>
      </c>
      <c r="F153" s="6">
        <v>2636.34</v>
      </c>
      <c r="G153" s="6">
        <v>13181.7</v>
      </c>
      <c r="H153" s="6">
        <v>13028.17</v>
      </c>
    </row>
    <row r="154" spans="1:8" x14ac:dyDescent="0.2">
      <c r="A154" s="5">
        <v>46110</v>
      </c>
      <c r="B154" s="2" t="s">
        <v>27</v>
      </c>
      <c r="C154" s="2" t="s">
        <v>22</v>
      </c>
      <c r="D154" s="2" t="s">
        <v>18</v>
      </c>
      <c r="E154" s="2">
        <v>5</v>
      </c>
      <c r="F154" s="6">
        <v>8884.2900000000009</v>
      </c>
      <c r="G154" s="6">
        <v>44421.45</v>
      </c>
      <c r="H154" s="6">
        <v>43843.89</v>
      </c>
    </row>
    <row r="155" spans="1:8" x14ac:dyDescent="0.2">
      <c r="A155" s="5">
        <v>46171</v>
      </c>
      <c r="B155" s="2" t="s">
        <v>29</v>
      </c>
      <c r="C155" s="2" t="s">
        <v>17</v>
      </c>
      <c r="D155" s="2" t="s">
        <v>23</v>
      </c>
      <c r="E155" s="2">
        <v>8</v>
      </c>
      <c r="F155" s="6">
        <v>9573.2999999999993</v>
      </c>
      <c r="G155" s="6">
        <v>76586.399999999994</v>
      </c>
      <c r="H155" s="6">
        <v>72574.03</v>
      </c>
    </row>
    <row r="156" spans="1:8" x14ac:dyDescent="0.2">
      <c r="A156" s="5">
        <v>46164</v>
      </c>
      <c r="B156" s="2" t="s">
        <v>21</v>
      </c>
      <c r="C156" s="2" t="s">
        <v>22</v>
      </c>
      <c r="D156" s="2" t="s">
        <v>25</v>
      </c>
      <c r="E156" s="2">
        <v>6</v>
      </c>
      <c r="F156" s="6">
        <v>7517.44</v>
      </c>
      <c r="G156" s="6">
        <v>45104.639999999999</v>
      </c>
      <c r="H156" s="6">
        <v>45035.27</v>
      </c>
    </row>
    <row r="157" spans="1:8" x14ac:dyDescent="0.2">
      <c r="A157" s="5">
        <v>46084</v>
      </c>
      <c r="B157" s="2" t="s">
        <v>21</v>
      </c>
      <c r="C157" s="2" t="s">
        <v>22</v>
      </c>
      <c r="D157" s="2" t="s">
        <v>23</v>
      </c>
      <c r="E157" s="2">
        <v>7</v>
      </c>
      <c r="F157" s="6">
        <v>6361.11</v>
      </c>
      <c r="G157" s="6">
        <v>44527.77</v>
      </c>
      <c r="H157" s="6">
        <v>43618.35</v>
      </c>
    </row>
    <row r="158" spans="1:8" x14ac:dyDescent="0.2">
      <c r="A158" s="5">
        <v>46203</v>
      </c>
      <c r="B158" s="2" t="s">
        <v>21</v>
      </c>
      <c r="C158" s="2" t="s">
        <v>22</v>
      </c>
      <c r="D158" s="2" t="s">
        <v>25</v>
      </c>
      <c r="E158" s="2">
        <v>11</v>
      </c>
      <c r="F158" s="6">
        <v>7409.35</v>
      </c>
      <c r="G158" s="6">
        <v>81502.850000000006</v>
      </c>
      <c r="H158" s="6">
        <v>79233.929999999993</v>
      </c>
    </row>
    <row r="159" spans="1:8" x14ac:dyDescent="0.2">
      <c r="A159" s="5">
        <v>46061</v>
      </c>
      <c r="B159" s="2" t="s">
        <v>29</v>
      </c>
      <c r="C159" s="2" t="s">
        <v>17</v>
      </c>
      <c r="D159" s="2" t="s">
        <v>18</v>
      </c>
      <c r="E159" s="2">
        <v>3</v>
      </c>
      <c r="F159" s="6">
        <v>9504.35</v>
      </c>
      <c r="G159" s="6">
        <v>28513.05</v>
      </c>
      <c r="H159" s="6">
        <v>27578.23</v>
      </c>
    </row>
    <row r="160" spans="1:8" x14ac:dyDescent="0.2">
      <c r="A160" s="5">
        <v>46048</v>
      </c>
      <c r="B160" s="2" t="s">
        <v>29</v>
      </c>
      <c r="C160" s="2" t="s">
        <v>17</v>
      </c>
      <c r="D160" s="2" t="s">
        <v>18</v>
      </c>
      <c r="E160" s="2">
        <v>9</v>
      </c>
      <c r="F160" s="6">
        <v>10279.84</v>
      </c>
      <c r="G160" s="6">
        <v>92518.56</v>
      </c>
      <c r="H160" s="6">
        <v>85230.67</v>
      </c>
    </row>
    <row r="161" spans="1:8" x14ac:dyDescent="0.2">
      <c r="A161" s="5">
        <v>46059</v>
      </c>
      <c r="B161" s="2" t="s">
        <v>21</v>
      </c>
      <c r="C161" s="2" t="s">
        <v>22</v>
      </c>
      <c r="D161" s="2" t="s">
        <v>23</v>
      </c>
      <c r="E161" s="2">
        <v>2</v>
      </c>
      <c r="F161" s="6">
        <v>6957.29</v>
      </c>
      <c r="G161" s="6">
        <v>13914.58</v>
      </c>
      <c r="H161" s="6">
        <v>13880.3</v>
      </c>
    </row>
    <row r="162" spans="1:8" x14ac:dyDescent="0.2">
      <c r="A162" s="5">
        <v>46109</v>
      </c>
      <c r="B162" s="2" t="s">
        <v>21</v>
      </c>
      <c r="C162" s="2" t="s">
        <v>22</v>
      </c>
      <c r="D162" s="2" t="s">
        <v>18</v>
      </c>
      <c r="E162" s="2">
        <v>6</v>
      </c>
      <c r="F162" s="6">
        <v>7493.28</v>
      </c>
      <c r="G162" s="6">
        <v>44959.68</v>
      </c>
      <c r="H162" s="6">
        <v>44453.77</v>
      </c>
    </row>
    <row r="163" spans="1:8" x14ac:dyDescent="0.2">
      <c r="A163" s="5">
        <v>46120</v>
      </c>
      <c r="B163" s="2" t="s">
        <v>26</v>
      </c>
      <c r="C163" s="2" t="s">
        <v>17</v>
      </c>
      <c r="D163" s="2" t="s">
        <v>25</v>
      </c>
      <c r="E163" s="2">
        <v>9</v>
      </c>
      <c r="F163" s="6">
        <v>10886.16</v>
      </c>
      <c r="G163" s="6">
        <v>97975.44</v>
      </c>
      <c r="H163" s="6">
        <v>90673.69</v>
      </c>
    </row>
    <row r="164" spans="1:8" x14ac:dyDescent="0.2">
      <c r="A164" s="5">
        <v>46184</v>
      </c>
      <c r="B164" s="2" t="s">
        <v>27</v>
      </c>
      <c r="C164" s="2" t="s">
        <v>22</v>
      </c>
      <c r="D164" s="2" t="s">
        <v>23</v>
      </c>
      <c r="E164" s="2">
        <v>12</v>
      </c>
      <c r="F164" s="6">
        <v>7803.64</v>
      </c>
      <c r="G164" s="6">
        <v>93643.68</v>
      </c>
      <c r="H164" s="6">
        <v>93481.4</v>
      </c>
    </row>
    <row r="165" spans="1:8" x14ac:dyDescent="0.2">
      <c r="A165" s="5">
        <v>46217</v>
      </c>
      <c r="B165" s="2" t="s">
        <v>16</v>
      </c>
      <c r="C165" s="2" t="s">
        <v>17</v>
      </c>
      <c r="D165" s="2" t="s">
        <v>25</v>
      </c>
      <c r="E165" s="2">
        <v>3</v>
      </c>
      <c r="F165" s="6">
        <v>29086.41</v>
      </c>
      <c r="G165" s="6">
        <v>87259.23</v>
      </c>
      <c r="H165" s="6">
        <v>86585.06</v>
      </c>
    </row>
    <row r="166" spans="1:8" x14ac:dyDescent="0.2">
      <c r="A166" s="5">
        <v>46034</v>
      </c>
      <c r="B166" s="2" t="s">
        <v>26</v>
      </c>
      <c r="C166" s="2" t="s">
        <v>17</v>
      </c>
      <c r="D166" s="2" t="s">
        <v>18</v>
      </c>
      <c r="E166" s="2">
        <v>5</v>
      </c>
      <c r="F166" s="6">
        <v>11660.31</v>
      </c>
      <c r="G166" s="6">
        <v>58301.55</v>
      </c>
      <c r="H166" s="6">
        <v>55646.2</v>
      </c>
    </row>
    <row r="167" spans="1:8" x14ac:dyDescent="0.2">
      <c r="A167" s="5">
        <v>46085</v>
      </c>
      <c r="B167" s="2" t="s">
        <v>21</v>
      </c>
      <c r="C167" s="2" t="s">
        <v>22</v>
      </c>
      <c r="D167" s="2" t="s">
        <v>23</v>
      </c>
      <c r="E167" s="2">
        <v>3</v>
      </c>
      <c r="F167" s="6">
        <v>6545.1</v>
      </c>
      <c r="G167" s="6">
        <v>19635.3</v>
      </c>
      <c r="H167" s="6">
        <v>19021.88</v>
      </c>
    </row>
    <row r="168" spans="1:8" x14ac:dyDescent="0.2">
      <c r="A168" s="5">
        <v>46120</v>
      </c>
      <c r="B168" s="2" t="s">
        <v>19</v>
      </c>
      <c r="C168" s="2" t="s">
        <v>20</v>
      </c>
      <c r="D168" s="2" t="s">
        <v>25</v>
      </c>
      <c r="E168" s="2">
        <v>10</v>
      </c>
      <c r="F168" s="6">
        <v>1671.52</v>
      </c>
      <c r="G168" s="6">
        <v>16715.2</v>
      </c>
      <c r="H168" s="6">
        <v>15994.64</v>
      </c>
    </row>
    <row r="169" spans="1:8" x14ac:dyDescent="0.2">
      <c r="A169" s="5">
        <v>46088</v>
      </c>
      <c r="B169" s="2" t="s">
        <v>29</v>
      </c>
      <c r="C169" s="2" t="s">
        <v>17</v>
      </c>
      <c r="D169" s="2" t="s">
        <v>28</v>
      </c>
      <c r="E169" s="2">
        <v>11</v>
      </c>
      <c r="F169" s="6">
        <v>8567.86</v>
      </c>
      <c r="G169" s="6">
        <v>94246.46</v>
      </c>
      <c r="H169" s="6">
        <v>92773.45</v>
      </c>
    </row>
    <row r="170" spans="1:8" x14ac:dyDescent="0.2">
      <c r="A170" s="5">
        <v>46096</v>
      </c>
      <c r="B170" s="2" t="s">
        <v>24</v>
      </c>
      <c r="C170" s="2" t="s">
        <v>20</v>
      </c>
      <c r="D170" s="2" t="s">
        <v>18</v>
      </c>
      <c r="E170" s="2">
        <v>8</v>
      </c>
      <c r="F170" s="6">
        <v>2722.62</v>
      </c>
      <c r="G170" s="6">
        <v>21780.959999999999</v>
      </c>
      <c r="H170" s="6">
        <v>21759.439999999999</v>
      </c>
    </row>
    <row r="171" spans="1:8" x14ac:dyDescent="0.2">
      <c r="A171" s="5">
        <v>46099</v>
      </c>
      <c r="B171" s="2" t="s">
        <v>21</v>
      </c>
      <c r="C171" s="2" t="s">
        <v>22</v>
      </c>
      <c r="D171" s="2" t="s">
        <v>28</v>
      </c>
      <c r="E171" s="2">
        <v>8</v>
      </c>
      <c r="F171" s="6">
        <v>7483.43</v>
      </c>
      <c r="G171" s="6">
        <v>59867.44</v>
      </c>
      <c r="H171" s="6">
        <v>56032.17</v>
      </c>
    </row>
    <row r="172" spans="1:8" x14ac:dyDescent="0.2">
      <c r="A172" s="5">
        <v>46121</v>
      </c>
      <c r="B172" s="2" t="s">
        <v>29</v>
      </c>
      <c r="C172" s="2" t="s">
        <v>17</v>
      </c>
      <c r="D172" s="2" t="s">
        <v>18</v>
      </c>
      <c r="E172" s="2">
        <v>4</v>
      </c>
      <c r="F172" s="6">
        <v>9274.59</v>
      </c>
      <c r="G172" s="6">
        <v>37098.36</v>
      </c>
      <c r="H172" s="6">
        <v>35195.83</v>
      </c>
    </row>
    <row r="173" spans="1:8" x14ac:dyDescent="0.2">
      <c r="A173" s="5">
        <v>46098</v>
      </c>
      <c r="B173" s="2" t="s">
        <v>27</v>
      </c>
      <c r="C173" s="2" t="s">
        <v>22</v>
      </c>
      <c r="D173" s="2" t="s">
        <v>18</v>
      </c>
      <c r="E173" s="2">
        <v>11</v>
      </c>
      <c r="F173" s="6">
        <v>8322.8700000000008</v>
      </c>
      <c r="G173" s="6">
        <v>91551.57</v>
      </c>
      <c r="H173" s="6">
        <v>84286.75</v>
      </c>
    </row>
    <row r="174" spans="1:8" x14ac:dyDescent="0.2">
      <c r="A174" s="5">
        <v>46198</v>
      </c>
      <c r="B174" s="2" t="s">
        <v>30</v>
      </c>
      <c r="C174" s="2" t="s">
        <v>17</v>
      </c>
      <c r="D174" s="2" t="s">
        <v>25</v>
      </c>
      <c r="E174" s="2">
        <v>5</v>
      </c>
      <c r="F174" s="6">
        <v>58033.15</v>
      </c>
      <c r="G174" s="6">
        <v>290165.75</v>
      </c>
      <c r="H174" s="6">
        <v>272294.28999999998</v>
      </c>
    </row>
    <row r="175" spans="1:8" x14ac:dyDescent="0.2">
      <c r="A175" s="5">
        <v>46228</v>
      </c>
      <c r="B175" s="2" t="s">
        <v>26</v>
      </c>
      <c r="C175" s="2" t="s">
        <v>17</v>
      </c>
      <c r="D175" s="2" t="s">
        <v>23</v>
      </c>
      <c r="E175" s="2">
        <v>11</v>
      </c>
      <c r="F175" s="6">
        <v>11256.32</v>
      </c>
      <c r="G175" s="6">
        <v>123819.52</v>
      </c>
      <c r="H175" s="6">
        <v>116396.56</v>
      </c>
    </row>
    <row r="176" spans="1:8" x14ac:dyDescent="0.2">
      <c r="A176" s="5">
        <v>46216</v>
      </c>
      <c r="B176" s="2" t="s">
        <v>24</v>
      </c>
      <c r="C176" s="2" t="s">
        <v>20</v>
      </c>
      <c r="D176" s="2" t="s">
        <v>18</v>
      </c>
      <c r="E176" s="2">
        <v>11</v>
      </c>
      <c r="F176" s="6">
        <v>2573.17</v>
      </c>
      <c r="G176" s="6">
        <v>28304.87</v>
      </c>
      <c r="H176" s="6">
        <v>26740.02</v>
      </c>
    </row>
    <row r="177" spans="1:8" x14ac:dyDescent="0.2">
      <c r="A177" s="5">
        <v>46135</v>
      </c>
      <c r="B177" s="2" t="s">
        <v>30</v>
      </c>
      <c r="C177" s="2" t="s">
        <v>17</v>
      </c>
      <c r="D177" s="2" t="s">
        <v>28</v>
      </c>
      <c r="E177" s="2">
        <v>12</v>
      </c>
      <c r="F177" s="6">
        <v>50945.53</v>
      </c>
      <c r="G177" s="6">
        <v>611346.36</v>
      </c>
      <c r="H177" s="6">
        <v>606926.46</v>
      </c>
    </row>
    <row r="178" spans="1:8" x14ac:dyDescent="0.2">
      <c r="A178" s="5">
        <v>46106</v>
      </c>
      <c r="B178" s="2" t="s">
        <v>21</v>
      </c>
      <c r="C178" s="2" t="s">
        <v>22</v>
      </c>
      <c r="D178" s="2" t="s">
        <v>23</v>
      </c>
      <c r="E178" s="2">
        <v>4</v>
      </c>
      <c r="F178" s="6">
        <v>6485.02</v>
      </c>
      <c r="G178" s="6">
        <v>25940.080000000002</v>
      </c>
      <c r="H178" s="6">
        <v>24984.26</v>
      </c>
    </row>
    <row r="179" spans="1:8" x14ac:dyDescent="0.2">
      <c r="A179" s="5">
        <v>46116</v>
      </c>
      <c r="B179" s="2" t="s">
        <v>27</v>
      </c>
      <c r="C179" s="2" t="s">
        <v>22</v>
      </c>
      <c r="D179" s="2" t="s">
        <v>23</v>
      </c>
      <c r="E179" s="2">
        <v>5</v>
      </c>
      <c r="F179" s="6">
        <v>9203.8799999999992</v>
      </c>
      <c r="G179" s="6">
        <v>46019.4</v>
      </c>
      <c r="H179" s="6">
        <v>45813.919999999998</v>
      </c>
    </row>
    <row r="180" spans="1:8" x14ac:dyDescent="0.2">
      <c r="A180" s="5">
        <v>46229</v>
      </c>
      <c r="B180" s="2" t="s">
        <v>27</v>
      </c>
      <c r="C180" s="2" t="s">
        <v>22</v>
      </c>
      <c r="D180" s="2" t="s">
        <v>28</v>
      </c>
      <c r="E180" s="2">
        <v>2</v>
      </c>
      <c r="F180" s="6">
        <v>8446.16</v>
      </c>
      <c r="G180" s="6">
        <v>16892.32</v>
      </c>
      <c r="H180" s="6">
        <v>15642.69</v>
      </c>
    </row>
    <row r="181" spans="1:8" x14ac:dyDescent="0.2">
      <c r="A181" s="5">
        <v>46216</v>
      </c>
      <c r="B181" s="2" t="s">
        <v>19</v>
      </c>
      <c r="C181" s="2" t="s">
        <v>20</v>
      </c>
      <c r="D181" s="2" t="s">
        <v>25</v>
      </c>
      <c r="E181" s="2">
        <v>9</v>
      </c>
      <c r="F181" s="6">
        <v>1751.68</v>
      </c>
      <c r="G181" s="6">
        <v>15765.12</v>
      </c>
      <c r="H181" s="6">
        <v>15501.13</v>
      </c>
    </row>
    <row r="182" spans="1:8" x14ac:dyDescent="0.2">
      <c r="A182" s="5">
        <v>46026</v>
      </c>
      <c r="B182" s="2" t="s">
        <v>27</v>
      </c>
      <c r="C182" s="2" t="s">
        <v>22</v>
      </c>
      <c r="D182" s="2" t="s">
        <v>18</v>
      </c>
      <c r="E182" s="2">
        <v>8</v>
      </c>
      <c r="F182" s="6">
        <v>8276.6</v>
      </c>
      <c r="G182" s="6">
        <v>66212.800000000003</v>
      </c>
      <c r="H182" s="6">
        <v>64883.31</v>
      </c>
    </row>
    <row r="183" spans="1:8" x14ac:dyDescent="0.2">
      <c r="A183" s="5">
        <v>46090</v>
      </c>
      <c r="B183" s="2" t="s">
        <v>21</v>
      </c>
      <c r="C183" s="2" t="s">
        <v>22</v>
      </c>
      <c r="D183" s="2" t="s">
        <v>28</v>
      </c>
      <c r="E183" s="2">
        <v>2</v>
      </c>
      <c r="F183" s="6">
        <v>7244.77</v>
      </c>
      <c r="G183" s="6">
        <v>14489.54</v>
      </c>
      <c r="H183" s="6">
        <v>13876.9</v>
      </c>
    </row>
    <row r="184" spans="1:8" x14ac:dyDescent="0.2">
      <c r="A184" s="5">
        <v>46181</v>
      </c>
      <c r="B184" s="2" t="s">
        <v>26</v>
      </c>
      <c r="C184" s="2" t="s">
        <v>17</v>
      </c>
      <c r="D184" s="2" t="s">
        <v>23</v>
      </c>
      <c r="E184" s="2">
        <v>11</v>
      </c>
      <c r="F184" s="6">
        <v>10951.72</v>
      </c>
      <c r="G184" s="6">
        <v>120468.92</v>
      </c>
      <c r="H184" s="6">
        <v>118771.32</v>
      </c>
    </row>
    <row r="185" spans="1:8" x14ac:dyDescent="0.2">
      <c r="A185" s="5">
        <v>46202</v>
      </c>
      <c r="B185" s="2" t="s">
        <v>27</v>
      </c>
      <c r="C185" s="2" t="s">
        <v>22</v>
      </c>
      <c r="D185" s="2" t="s">
        <v>25</v>
      </c>
      <c r="E185" s="2">
        <v>2</v>
      </c>
      <c r="F185" s="6">
        <v>7887.62</v>
      </c>
      <c r="G185" s="6">
        <v>15775.24</v>
      </c>
      <c r="H185" s="6">
        <v>15707.42</v>
      </c>
    </row>
    <row r="186" spans="1:8" x14ac:dyDescent="0.2">
      <c r="A186" s="5">
        <v>46100</v>
      </c>
      <c r="B186" s="2" t="s">
        <v>29</v>
      </c>
      <c r="C186" s="2" t="s">
        <v>17</v>
      </c>
      <c r="D186" s="2" t="s">
        <v>18</v>
      </c>
      <c r="E186" s="2">
        <v>2</v>
      </c>
      <c r="F186" s="6">
        <v>8996.1200000000008</v>
      </c>
      <c r="G186" s="6">
        <v>17992.240000000002</v>
      </c>
      <c r="H186" s="6">
        <v>17326.59</v>
      </c>
    </row>
    <row r="187" spans="1:8" x14ac:dyDescent="0.2">
      <c r="A187" s="5">
        <v>46122</v>
      </c>
      <c r="B187" s="2" t="s">
        <v>29</v>
      </c>
      <c r="C187" s="2" t="s">
        <v>17</v>
      </c>
      <c r="D187" s="2" t="s">
        <v>28</v>
      </c>
      <c r="E187" s="2">
        <v>11</v>
      </c>
      <c r="F187" s="6">
        <v>10353.82</v>
      </c>
      <c r="G187" s="6">
        <v>113892.02</v>
      </c>
      <c r="H187" s="6">
        <v>111126.58</v>
      </c>
    </row>
    <row r="188" spans="1:8" x14ac:dyDescent="0.2">
      <c r="A188" s="5">
        <v>46161</v>
      </c>
      <c r="B188" s="2" t="s">
        <v>21</v>
      </c>
      <c r="C188" s="2" t="s">
        <v>22</v>
      </c>
      <c r="D188" s="2" t="s">
        <v>23</v>
      </c>
      <c r="E188" s="2">
        <v>7</v>
      </c>
      <c r="F188" s="6">
        <v>7216.89</v>
      </c>
      <c r="G188" s="6">
        <v>50518.23</v>
      </c>
      <c r="H188" s="6">
        <v>49846.11</v>
      </c>
    </row>
    <row r="189" spans="1:8" x14ac:dyDescent="0.2">
      <c r="A189" s="5">
        <v>46180</v>
      </c>
      <c r="B189" s="2" t="s">
        <v>21</v>
      </c>
      <c r="C189" s="2" t="s">
        <v>22</v>
      </c>
      <c r="D189" s="2" t="s">
        <v>28</v>
      </c>
      <c r="E189" s="2">
        <v>1</v>
      </c>
      <c r="F189" s="6">
        <v>7266.39</v>
      </c>
      <c r="G189" s="6">
        <v>7266.39</v>
      </c>
      <c r="H189" s="6">
        <v>6811.38</v>
      </c>
    </row>
    <row r="190" spans="1:8" x14ac:dyDescent="0.2">
      <c r="A190" s="5">
        <v>46136</v>
      </c>
      <c r="B190" s="2" t="s">
        <v>19</v>
      </c>
      <c r="C190" s="2" t="s">
        <v>20</v>
      </c>
      <c r="D190" s="2" t="s">
        <v>28</v>
      </c>
      <c r="E190" s="2">
        <v>2</v>
      </c>
      <c r="F190" s="6">
        <v>1973.13</v>
      </c>
      <c r="G190" s="6">
        <v>3946.26</v>
      </c>
      <c r="H190" s="6">
        <v>3746.53</v>
      </c>
    </row>
    <row r="191" spans="1:8" x14ac:dyDescent="0.2">
      <c r="A191" s="5">
        <v>46188</v>
      </c>
      <c r="B191" s="2" t="s">
        <v>26</v>
      </c>
      <c r="C191" s="2" t="s">
        <v>17</v>
      </c>
      <c r="D191" s="2" t="s">
        <v>18</v>
      </c>
      <c r="E191" s="2">
        <v>7</v>
      </c>
      <c r="F191" s="6">
        <v>11462.12</v>
      </c>
      <c r="G191" s="6">
        <v>80234.84</v>
      </c>
      <c r="H191" s="6">
        <v>80030.77</v>
      </c>
    </row>
    <row r="192" spans="1:8" x14ac:dyDescent="0.2">
      <c r="A192" s="5">
        <v>46233</v>
      </c>
      <c r="B192" s="2" t="s">
        <v>29</v>
      </c>
      <c r="C192" s="2" t="s">
        <v>17</v>
      </c>
      <c r="D192" s="2" t="s">
        <v>18</v>
      </c>
      <c r="E192" s="2">
        <v>11</v>
      </c>
      <c r="F192" s="6">
        <v>8953</v>
      </c>
      <c r="G192" s="6">
        <v>98483</v>
      </c>
      <c r="H192" s="6">
        <v>95642.69</v>
      </c>
    </row>
    <row r="193" spans="1:8" x14ac:dyDescent="0.2">
      <c r="A193" s="5">
        <v>46028</v>
      </c>
      <c r="B193" s="2" t="s">
        <v>30</v>
      </c>
      <c r="C193" s="2" t="s">
        <v>17</v>
      </c>
      <c r="D193" s="2" t="s">
        <v>28</v>
      </c>
      <c r="E193" s="2">
        <v>4</v>
      </c>
      <c r="F193" s="6">
        <v>60377.03</v>
      </c>
      <c r="G193" s="6">
        <v>241508.12</v>
      </c>
      <c r="H193" s="6">
        <v>237392.4</v>
      </c>
    </row>
    <row r="194" spans="1:8" x14ac:dyDescent="0.2">
      <c r="A194" s="5">
        <v>46075</v>
      </c>
      <c r="B194" s="2" t="s">
        <v>16</v>
      </c>
      <c r="C194" s="2" t="s">
        <v>17</v>
      </c>
      <c r="D194" s="2" t="s">
        <v>23</v>
      </c>
      <c r="E194" s="2">
        <v>10</v>
      </c>
      <c r="F194" s="6">
        <v>26409.33</v>
      </c>
      <c r="G194" s="6">
        <v>264093.3</v>
      </c>
      <c r="H194" s="6">
        <v>261340.29</v>
      </c>
    </row>
    <row r="195" spans="1:8" x14ac:dyDescent="0.2">
      <c r="A195" s="5">
        <v>46107</v>
      </c>
      <c r="B195" s="2" t="s">
        <v>24</v>
      </c>
      <c r="C195" s="2" t="s">
        <v>20</v>
      </c>
      <c r="D195" s="2" t="s">
        <v>18</v>
      </c>
      <c r="E195" s="2">
        <v>5</v>
      </c>
      <c r="F195" s="6">
        <v>2679.2</v>
      </c>
      <c r="G195" s="6">
        <v>13396</v>
      </c>
      <c r="H195" s="6">
        <v>12479.38</v>
      </c>
    </row>
    <row r="196" spans="1:8" x14ac:dyDescent="0.2">
      <c r="A196" s="5">
        <v>46056</v>
      </c>
      <c r="B196" s="2" t="s">
        <v>27</v>
      </c>
      <c r="C196" s="2" t="s">
        <v>22</v>
      </c>
      <c r="D196" s="2" t="s">
        <v>23</v>
      </c>
      <c r="E196" s="2">
        <v>2</v>
      </c>
      <c r="F196" s="6">
        <v>8773.7999999999993</v>
      </c>
      <c r="G196" s="6">
        <v>17547.599999999999</v>
      </c>
      <c r="H196" s="6">
        <v>16179.98</v>
      </c>
    </row>
    <row r="197" spans="1:8" x14ac:dyDescent="0.2">
      <c r="A197" s="5">
        <v>46026</v>
      </c>
      <c r="B197" s="2" t="s">
        <v>26</v>
      </c>
      <c r="C197" s="2" t="s">
        <v>17</v>
      </c>
      <c r="D197" s="2" t="s">
        <v>23</v>
      </c>
      <c r="E197" s="2">
        <v>10</v>
      </c>
      <c r="F197" s="6">
        <v>11577.05</v>
      </c>
      <c r="G197" s="6">
        <v>115770.5</v>
      </c>
      <c r="H197" s="6">
        <v>108122.67</v>
      </c>
    </row>
    <row r="198" spans="1:8" x14ac:dyDescent="0.2">
      <c r="A198" s="5">
        <v>46036</v>
      </c>
      <c r="B198" s="2" t="s">
        <v>24</v>
      </c>
      <c r="C198" s="2" t="s">
        <v>20</v>
      </c>
      <c r="D198" s="2" t="s">
        <v>25</v>
      </c>
      <c r="E198" s="2">
        <v>9</v>
      </c>
      <c r="F198" s="6">
        <v>2306.8200000000002</v>
      </c>
      <c r="G198" s="6">
        <v>20761.38</v>
      </c>
      <c r="H198" s="6">
        <v>19206.03</v>
      </c>
    </row>
    <row r="199" spans="1:8" x14ac:dyDescent="0.2">
      <c r="A199" s="5">
        <v>46137</v>
      </c>
      <c r="B199" s="2" t="s">
        <v>26</v>
      </c>
      <c r="C199" s="2" t="s">
        <v>17</v>
      </c>
      <c r="D199" s="2" t="s">
        <v>18</v>
      </c>
      <c r="E199" s="2">
        <v>8</v>
      </c>
      <c r="F199" s="6">
        <v>12009.21</v>
      </c>
      <c r="G199" s="6">
        <v>96073.68</v>
      </c>
      <c r="H199" s="6">
        <v>95654.15</v>
      </c>
    </row>
    <row r="200" spans="1:8" x14ac:dyDescent="0.2">
      <c r="A200" s="5">
        <v>46034</v>
      </c>
      <c r="B200" s="2" t="s">
        <v>27</v>
      </c>
      <c r="C200" s="2" t="s">
        <v>22</v>
      </c>
      <c r="D200" s="2" t="s">
        <v>25</v>
      </c>
      <c r="E200" s="2">
        <v>11</v>
      </c>
      <c r="F200" s="6">
        <v>9288.84</v>
      </c>
      <c r="G200" s="6">
        <v>102177.24</v>
      </c>
      <c r="H200" s="6">
        <v>94500.26</v>
      </c>
    </row>
    <row r="201" spans="1:8" x14ac:dyDescent="0.2">
      <c r="A201" s="5">
        <v>46145</v>
      </c>
      <c r="B201" s="2" t="s">
        <v>21</v>
      </c>
      <c r="C201" s="2" t="s">
        <v>22</v>
      </c>
      <c r="D201" s="2" t="s">
        <v>25</v>
      </c>
      <c r="E201" s="2">
        <v>11</v>
      </c>
      <c r="F201" s="6">
        <v>6451.15</v>
      </c>
      <c r="G201" s="6">
        <v>70962.649999999994</v>
      </c>
      <c r="H201" s="6">
        <v>69329.95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"/>
  <cols>
    <col min="1" max="14" width="16.0078125" customWidth="1"/>
  </cols>
  <sheetData>
    <row r="1" spans="1:8" ht="25.5" x14ac:dyDescent="0.35">
      <c r="A1" s="18" t="s">
        <v>31</v>
      </c>
      <c r="B1" s="12"/>
      <c r="C1" s="12"/>
      <c r="D1" s="12"/>
      <c r="E1" s="12"/>
      <c r="F1" s="12"/>
      <c r="G1" s="12"/>
      <c r="H1" s="12"/>
    </row>
    <row r="2" spans="1:8" x14ac:dyDescent="0.2">
      <c r="A2" s="16" t="s">
        <v>32</v>
      </c>
      <c r="B2" s="12"/>
      <c r="C2" s="12"/>
      <c r="D2" s="12"/>
      <c r="E2" s="12"/>
      <c r="F2" s="12"/>
      <c r="G2" s="12"/>
      <c r="H2" s="12"/>
    </row>
    <row r="4" spans="1:8" x14ac:dyDescent="0.2">
      <c r="A4" s="19" t="s">
        <v>33</v>
      </c>
      <c r="B4" s="12"/>
      <c r="C4" s="19" t="s">
        <v>34</v>
      </c>
      <c r="D4" s="12"/>
      <c r="E4" s="19" t="s">
        <v>35</v>
      </c>
      <c r="F4" s="12"/>
      <c r="G4" s="19" t="s">
        <v>36</v>
      </c>
      <c r="H4" s="12"/>
    </row>
    <row r="5" spans="1:8" ht="21" x14ac:dyDescent="0.3">
      <c r="A5" s="20">
        <f>SUM('Sales Data'!G2:G201)</f>
        <v>18314397.500000007</v>
      </c>
      <c r="B5" s="12"/>
      <c r="C5" s="20">
        <f>SUM('Sales Data'!H2:H201)</f>
        <v>17676951.939999994</v>
      </c>
      <c r="D5" s="12"/>
      <c r="E5" s="21">
        <f>SUM('Sales Data'!E2:E201)</f>
        <v>1343</v>
      </c>
      <c r="F5" s="12"/>
      <c r="G5" s="20">
        <f>AVERAGE('Sales Data'!G2:G201)</f>
        <v>91571.987500000032</v>
      </c>
      <c r="H5" s="12"/>
    </row>
    <row r="8" spans="1:8" ht="18.75" x14ac:dyDescent="0.25">
      <c r="A8" s="11" t="s">
        <v>37</v>
      </c>
      <c r="B8" s="12"/>
      <c r="C8" s="12"/>
      <c r="D8" s="12"/>
      <c r="F8" s="11" t="s">
        <v>38</v>
      </c>
      <c r="G8" s="12"/>
      <c r="H8" s="12"/>
    </row>
    <row r="9" spans="1:8" x14ac:dyDescent="0.2">
      <c r="A9" s="1" t="s">
        <v>7</v>
      </c>
      <c r="B9" s="1" t="s">
        <v>8</v>
      </c>
      <c r="C9" s="1" t="s">
        <v>11</v>
      </c>
      <c r="D9" s="1" t="s">
        <v>14</v>
      </c>
      <c r="E9" s="7"/>
      <c r="F9" s="1" t="s">
        <v>10</v>
      </c>
      <c r="G9" s="1" t="s">
        <v>8</v>
      </c>
      <c r="H9" s="1" t="s">
        <v>11</v>
      </c>
    </row>
    <row r="10" spans="1:8" x14ac:dyDescent="0.2">
      <c r="A10" s="2" t="s">
        <v>30</v>
      </c>
      <c r="B10" s="3">
        <f>SUMIF('Sales Data'!B:B,A10,'Sales Data'!G:G)</f>
        <v>6273532.1299999999</v>
      </c>
      <c r="C10" s="3">
        <f>SUMIF('Sales Data'!B:B,A10,'Sales Data'!H:H)</f>
        <v>6107468.6800000006</v>
      </c>
      <c r="D10" s="2">
        <f>SUMIF('Sales Data'!B:B,A10,'Sales Data'!E:E)</f>
        <v>116</v>
      </c>
      <c r="F10" s="2" t="s">
        <v>18</v>
      </c>
      <c r="G10" s="3">
        <f>SUMIF('Sales Data'!D:D,F10,'Sales Data'!G:G)</f>
        <v>4958763.1599999992</v>
      </c>
      <c r="H10" s="3">
        <f>SUMIF('Sales Data'!D:D,F10,'Sales Data'!H:H)</f>
        <v>4748314.8100000005</v>
      </c>
    </row>
    <row r="11" spans="1:8" x14ac:dyDescent="0.2">
      <c r="A11" s="2" t="s">
        <v>16</v>
      </c>
      <c r="B11" s="3">
        <f>SUMIF('Sales Data'!B:B,A11,'Sales Data'!G:G)</f>
        <v>4462850.5200000005</v>
      </c>
      <c r="C11" s="3">
        <f>SUMIF('Sales Data'!B:B,A11,'Sales Data'!H:H)</f>
        <v>4293116.9300000006</v>
      </c>
      <c r="D11" s="2">
        <f>SUMIF('Sales Data'!B:B,A11,'Sales Data'!E:E)</f>
        <v>161</v>
      </c>
      <c r="F11" s="2" t="s">
        <v>23</v>
      </c>
      <c r="G11" s="3">
        <f>SUMIF('Sales Data'!D:D,F11,'Sales Data'!G:G)</f>
        <v>5099245.0299999993</v>
      </c>
      <c r="H11" s="3">
        <f>SUMIF('Sales Data'!D:D,F11,'Sales Data'!H:H)</f>
        <v>4924068.5200000005</v>
      </c>
    </row>
    <row r="12" spans="1:8" x14ac:dyDescent="0.2">
      <c r="A12" s="2" t="s">
        <v>24</v>
      </c>
      <c r="B12" s="3">
        <f>SUMIF('Sales Data'!B:B,A12,'Sales Data'!G:G)</f>
        <v>302773.25</v>
      </c>
      <c r="C12" s="3">
        <f>SUMIF('Sales Data'!B:B,A12,'Sales Data'!H:H)</f>
        <v>290675.29000000004</v>
      </c>
      <c r="D12" s="2">
        <f>SUMIF('Sales Data'!B:B,A12,'Sales Data'!E:E)</f>
        <v>124</v>
      </c>
      <c r="F12" s="2" t="s">
        <v>28</v>
      </c>
      <c r="G12" s="3">
        <f>SUMIF('Sales Data'!D:D,F12,'Sales Data'!G:G)</f>
        <v>4039422.29</v>
      </c>
      <c r="H12" s="3">
        <f>SUMIF('Sales Data'!D:D,F12,'Sales Data'!H:H)</f>
        <v>3962620.3599999994</v>
      </c>
    </row>
    <row r="13" spans="1:8" x14ac:dyDescent="0.2">
      <c r="A13" s="2" t="s">
        <v>19</v>
      </c>
      <c r="B13" s="3">
        <f>SUMIF('Sales Data'!B:B,A13,'Sales Data'!G:G)</f>
        <v>286027.81</v>
      </c>
      <c r="C13" s="3">
        <f>SUMIF('Sales Data'!B:B,A13,'Sales Data'!H:H)</f>
        <v>274849.03000000003</v>
      </c>
      <c r="D13" s="2">
        <f>SUMIF('Sales Data'!B:B,A13,'Sales Data'!E:E)</f>
        <v>160</v>
      </c>
      <c r="F13" s="2" t="s">
        <v>25</v>
      </c>
      <c r="G13" s="3">
        <f>SUMIF('Sales Data'!D:D,F13,'Sales Data'!G:G)</f>
        <v>4216967.0200000014</v>
      </c>
      <c r="H13" s="3">
        <f>SUMIF('Sales Data'!D:D,F13,'Sales Data'!H:H)</f>
        <v>4041948.2499999991</v>
      </c>
    </row>
    <row r="14" spans="1:8" x14ac:dyDescent="0.2">
      <c r="A14" s="2" t="s">
        <v>27</v>
      </c>
      <c r="B14" s="3">
        <f>SUMIF('Sales Data'!B:B,A14,'Sales Data'!G:G)</f>
        <v>1882015.3800000001</v>
      </c>
      <c r="C14" s="3">
        <f>SUMIF('Sales Data'!B:B,A14,'Sales Data'!H:H)</f>
        <v>1800080.9999999995</v>
      </c>
      <c r="D14" s="2">
        <f>SUMIF('Sales Data'!B:B,A14,'Sales Data'!E:E)</f>
        <v>219</v>
      </c>
    </row>
    <row r="15" spans="1:8" x14ac:dyDescent="0.2">
      <c r="A15" s="2" t="s">
        <v>26</v>
      </c>
      <c r="B15" s="3">
        <f>SUMIF('Sales Data'!B:B,A15,'Sales Data'!G:G)</f>
        <v>1770003.5599999998</v>
      </c>
      <c r="C15" s="3">
        <f>SUMIF('Sales Data'!B:B,A15,'Sales Data'!H:H)</f>
        <v>1697767.6099999999</v>
      </c>
      <c r="D15" s="2">
        <f>SUMIF('Sales Data'!B:B,A15,'Sales Data'!E:E)</f>
        <v>150</v>
      </c>
    </row>
    <row r="16" spans="1:8" ht="18.75" x14ac:dyDescent="0.25">
      <c r="A16" s="2" t="s">
        <v>21</v>
      </c>
      <c r="B16" s="3">
        <f>SUMIF('Sales Data'!B:B,A16,'Sales Data'!G:G)</f>
        <v>1542324.8599999999</v>
      </c>
      <c r="C16" s="3">
        <f>SUMIF('Sales Data'!B:B,A16,'Sales Data'!H:H)</f>
        <v>1489403.2099999997</v>
      </c>
      <c r="D16" s="2">
        <f>SUMIF('Sales Data'!B:B,A16,'Sales Data'!E:E)</f>
        <v>220</v>
      </c>
      <c r="F16" s="11" t="s">
        <v>39</v>
      </c>
      <c r="G16" s="12"/>
      <c r="H16" s="12"/>
    </row>
    <row r="17" spans="1:8" x14ac:dyDescent="0.2">
      <c r="A17" s="2" t="s">
        <v>29</v>
      </c>
      <c r="B17" s="3">
        <f>SUMIF('Sales Data'!B:B,A17,'Sales Data'!G:G)</f>
        <v>1794869.9900000005</v>
      </c>
      <c r="C17" s="3">
        <f>SUMIF('Sales Data'!B:B,A17,'Sales Data'!H:H)</f>
        <v>1723590.1900000002</v>
      </c>
      <c r="D17" s="2">
        <f>SUMIF('Sales Data'!B:B,A17,'Sales Data'!E:E)</f>
        <v>193</v>
      </c>
      <c r="F17" s="1" t="s">
        <v>40</v>
      </c>
      <c r="G17" s="1" t="s">
        <v>8</v>
      </c>
      <c r="H17" s="1" t="s">
        <v>11</v>
      </c>
    </row>
    <row r="18" spans="1:8" x14ac:dyDescent="0.2">
      <c r="F18" s="8">
        <v>46023</v>
      </c>
      <c r="G18" s="3">
        <f>SUMIFS('Sales Data'!G:G,'Sales Data'!A:A,"&gt;="&amp;F18,'Sales Data'!A:A,"&lt;"&amp;EDATE(F18,1))</f>
        <v>2658942.8099999996</v>
      </c>
      <c r="H18" s="3">
        <f>SUMIFS('Sales Data'!H:H,'Sales Data'!A:A,"&gt;="&amp;F18,'Sales Data'!A:A,"&lt;"&amp;EDATE(F18,1))</f>
        <v>2585674.3699999992</v>
      </c>
    </row>
    <row r="19" spans="1:8" ht="18.75" x14ac:dyDescent="0.25">
      <c r="A19" s="11" t="s">
        <v>41</v>
      </c>
      <c r="B19" s="12"/>
      <c r="C19" s="12"/>
      <c r="D19" s="12"/>
      <c r="F19" s="8">
        <v>46054</v>
      </c>
      <c r="G19" s="3">
        <f>SUMIFS('Sales Data'!G:G,'Sales Data'!A:A,"&gt;="&amp;F19,'Sales Data'!A:A,"&lt;"&amp;EDATE(F19,1))</f>
        <v>1457036.8300000003</v>
      </c>
      <c r="H19" s="3">
        <f>SUMIFS('Sales Data'!H:H,'Sales Data'!A:A,"&gt;="&amp;F19,'Sales Data'!A:A,"&lt;"&amp;EDATE(F19,1))</f>
        <v>1378185.46</v>
      </c>
    </row>
    <row r="20" spans="1:8" x14ac:dyDescent="0.2">
      <c r="A20" s="1" t="s">
        <v>13</v>
      </c>
      <c r="B20" s="1" t="s">
        <v>8</v>
      </c>
      <c r="C20" s="1" t="s">
        <v>11</v>
      </c>
      <c r="D20" s="1" t="s">
        <v>14</v>
      </c>
      <c r="E20" s="7"/>
      <c r="F20" s="9">
        <v>46082</v>
      </c>
      <c r="G20" s="10">
        <f>SUMIFS('Sales Data'!G:G,'Sales Data'!A:A,"&gt;="&amp;F20,'Sales Data'!A:A,"&lt;"&amp;EDATE(F20,1))</f>
        <v>3368262.5500000003</v>
      </c>
      <c r="H20" s="10">
        <f>SUMIFS('Sales Data'!H:H,'Sales Data'!A:A,"&gt;="&amp;F20,'Sales Data'!A:A,"&lt;"&amp;EDATE(F20,1))</f>
        <v>3235150.9199999995</v>
      </c>
    </row>
    <row r="21" spans="1:8" x14ac:dyDescent="0.2">
      <c r="A21" s="2" t="s">
        <v>17</v>
      </c>
      <c r="B21" s="3">
        <f>SUMIF('Sales Data'!C:C,A21,'Sales Data'!G:G)</f>
        <v>14301256.199999999</v>
      </c>
      <c r="C21" s="3">
        <f>SUMIF('Sales Data'!C:C,A21,'Sales Data'!H:H)</f>
        <v>13821943.409999995</v>
      </c>
      <c r="D21" s="2">
        <f>SUMIF('Sales Data'!C:C,A21,'Sales Data'!E:E)</f>
        <v>620</v>
      </c>
      <c r="F21" s="8">
        <v>46113</v>
      </c>
      <c r="G21" s="3">
        <f>SUMIFS('Sales Data'!G:G,'Sales Data'!A:A,"&gt;="&amp;F21,'Sales Data'!A:A,"&lt;"&amp;EDATE(F21,1))</f>
        <v>2619483.2800000003</v>
      </c>
      <c r="H21" s="3">
        <f>SUMIFS('Sales Data'!H:H,'Sales Data'!A:A,"&gt;="&amp;F21,'Sales Data'!A:A,"&lt;"&amp;EDATE(F21,1))</f>
        <v>2550057.38</v>
      </c>
    </row>
    <row r="22" spans="1:8" x14ac:dyDescent="0.2">
      <c r="A22" s="2" t="s">
        <v>20</v>
      </c>
      <c r="B22" s="3">
        <f>SUMIF('Sales Data'!C:C,A22,'Sales Data'!G:G)</f>
        <v>588801.06000000006</v>
      </c>
      <c r="C22" s="3">
        <f>SUMIF('Sales Data'!C:C,A22,'Sales Data'!H:H)</f>
        <v>565524.32000000007</v>
      </c>
      <c r="D22" s="2">
        <f>SUMIF('Sales Data'!C:C,A22,'Sales Data'!E:E)</f>
        <v>284</v>
      </c>
      <c r="F22" s="8">
        <v>46143</v>
      </c>
      <c r="G22" s="3">
        <f>SUMIFS('Sales Data'!G:G,'Sales Data'!A:A,"&gt;="&amp;F22,'Sales Data'!A:A,"&lt;"&amp;EDATE(F22,1))</f>
        <v>2151059.9099999997</v>
      </c>
      <c r="H22" s="3">
        <f>SUMIFS('Sales Data'!H:H,'Sales Data'!A:A,"&gt;="&amp;F22,'Sales Data'!A:A,"&lt;"&amp;EDATE(F22,1))</f>
        <v>2078151.6600000001</v>
      </c>
    </row>
    <row r="23" spans="1:8" x14ac:dyDescent="0.2">
      <c r="A23" s="2" t="s">
        <v>22</v>
      </c>
      <c r="B23" s="3">
        <f>SUMIF('Sales Data'!C:C,A23,'Sales Data'!G:G)</f>
        <v>3424340.2400000016</v>
      </c>
      <c r="C23" s="3">
        <f>SUMIF('Sales Data'!C:C,A23,'Sales Data'!H:H)</f>
        <v>3289484.209999999</v>
      </c>
      <c r="D23" s="2">
        <f>SUMIF('Sales Data'!C:C,A23,'Sales Data'!E:E)</f>
        <v>439</v>
      </c>
      <c r="F23" s="8">
        <v>46174</v>
      </c>
      <c r="G23" s="3">
        <f>SUMIFS('Sales Data'!G:G,'Sales Data'!A:A,"&gt;="&amp;F23,'Sales Data'!A:A,"&lt;"&amp;EDATE(F23,1))</f>
        <v>2669442.12</v>
      </c>
      <c r="H23" s="3">
        <f>SUMIFS('Sales Data'!H:H,'Sales Data'!A:A,"&gt;="&amp;F23,'Sales Data'!A:A,"&lt;"&amp;EDATE(F23,1))</f>
        <v>2565202.2199999997</v>
      </c>
    </row>
    <row r="24" spans="1:8" x14ac:dyDescent="0.2">
      <c r="F24" s="8">
        <v>46204</v>
      </c>
      <c r="G24" s="3">
        <f>SUMIFS('Sales Data'!G:G,'Sales Data'!A:A,"&gt;="&amp;F24,'Sales Data'!A:A,"&lt;"&amp;EDATE(F24,1))</f>
        <v>3359333.4400000004</v>
      </c>
      <c r="H24" s="3">
        <f>SUMIFS('Sales Data'!H:H,'Sales Data'!A:A,"&gt;="&amp;F24,'Sales Data'!A:A,"&lt;"&amp;EDATE(F24,1))</f>
        <v>3254245.11</v>
      </c>
    </row>
  </sheetData>
  <mergeCells count="14">
    <mergeCell ref="A19:D19"/>
    <mergeCell ref="A1:H1"/>
    <mergeCell ref="C4:D4"/>
    <mergeCell ref="A2:H2"/>
    <mergeCell ref="C5:D5"/>
    <mergeCell ref="A5:B5"/>
    <mergeCell ref="G5:H5"/>
    <mergeCell ref="E5:F5"/>
    <mergeCell ref="A4:B4"/>
    <mergeCell ref="G4:H4"/>
    <mergeCell ref="E4:F4"/>
    <mergeCell ref="F16:H16"/>
    <mergeCell ref="A8:D8"/>
    <mergeCell ref="F8:H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Sales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2026-08-13T06:56:59Z</dcterms:created>
  <dcterms:modified xsi:type="dcterms:W3CDTF">2026-08-13T06:56:59Z</dcterms:modified>
</cp:coreProperties>
</file>